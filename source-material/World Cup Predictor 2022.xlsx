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orm responses 2" sheetId="1" r:id="rId5"/>
    <sheet state="visible" name="Predictions" sheetId="2" r:id="rId6"/>
    <sheet state="visible" name="Points" sheetId="3" r:id="rId7"/>
    <sheet state="hidden" name="Pins" sheetId="4" r:id="rId8"/>
    <sheet state="visible" name="Group A" sheetId="5" r:id="rId9"/>
    <sheet state="visible" name="Group B" sheetId="6" r:id="rId10"/>
    <sheet state="visible" name="Group C" sheetId="7" r:id="rId11"/>
    <sheet state="visible" name="Group D" sheetId="8" r:id="rId12"/>
    <sheet state="visible" name="Group F" sheetId="9" r:id="rId13"/>
    <sheet state="visible" name="Group E" sheetId="10" r:id="rId14"/>
    <sheet state="visible" name="Group G" sheetId="11" r:id="rId15"/>
    <sheet state="visible" name="Group H" sheetId="12" r:id="rId16"/>
    <sheet state="hidden" name="Teams" sheetId="13" r:id="rId17"/>
  </sheets>
  <definedNames/>
  <calcPr/>
</workbook>
</file>

<file path=xl/sharedStrings.xml><?xml version="1.0" encoding="utf-8"?>
<sst xmlns="http://schemas.openxmlformats.org/spreadsheetml/2006/main" count="759" uniqueCount="164">
  <si>
    <t>Timestamp</t>
  </si>
  <si>
    <t>Who are you?</t>
  </si>
  <si>
    <t>What's your PIN?</t>
  </si>
  <si>
    <t>Who'll win the Golden Boot?
The Golden Boot is awarded to the player with the most goals during the tournament. Should there be a shared boot at the end of the tournament, you'll score 5 points for any of the players sharing the boot.</t>
  </si>
  <si>
    <t>Who'll win the Golden Ball?
The Golden Ball is awarded to the player voted as the best player of the tournament.</t>
  </si>
  <si>
    <t>Who'll win the Golden Glove?
The Golden Glove is awarded to the player voted as the best goalkeeper of the tournament.</t>
  </si>
  <si>
    <t>Who'll win the Best Young Player award?
The Best Young Player award is awarded to a player who is under 21 at the start of the calendar year.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</si>
  <si>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</si>
  <si>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</si>
  <si>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</si>
  <si>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</si>
  <si>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</si>
  <si>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</si>
  <si>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</si>
  <si>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</si>
  <si>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 xml:space="preserve">Which team will win the FIFA Fair Play Trophy?
The FIFA Fair Play Trophy is given to the team with the best record of fair play. </t>
  </si>
  <si>
    <t xml:space="preserve">Which team will win the Most Entertaining Team award?
As voted for by a public opinion poll run by FIFA. </t>
  </si>
  <si>
    <t>Which team will be the first finalist?
5 points for any team that reaches the final.</t>
  </si>
  <si>
    <t>Which team will be the second finalist?
5 points for any team that reaches the final.</t>
  </si>
  <si>
    <t>Which country will be the 2022 FIFA World Cup Champions?</t>
  </si>
  <si>
    <t>Email address</t>
  </si>
  <si>
    <t>Donovan</t>
  </si>
  <si>
    <t>Mbape</t>
  </si>
  <si>
    <t>Lewondowski</t>
  </si>
  <si>
    <t>Alisson</t>
  </si>
  <si>
    <t>Jude Bellingham</t>
  </si>
  <si>
    <t>Senegal, Netherlands</t>
  </si>
  <si>
    <t>England, USA</t>
  </si>
  <si>
    <t>Argentina, Mexico</t>
  </si>
  <si>
    <t>France, Denmark</t>
  </si>
  <si>
    <t>Spain, Germany</t>
  </si>
  <si>
    <t>Belgium, Croatia</t>
  </si>
  <si>
    <t>Brazil, Cameroon</t>
  </si>
  <si>
    <t>Portugal, Uruguay</t>
  </si>
  <si>
    <t>Japan</t>
  </si>
  <si>
    <t>Brazil</t>
  </si>
  <si>
    <t>France</t>
  </si>
  <si>
    <t>Germany</t>
  </si>
  <si>
    <t/>
  </si>
  <si>
    <t>Anthony</t>
  </si>
  <si>
    <t>Karim Benzema</t>
  </si>
  <si>
    <t>Vincius Junior</t>
  </si>
  <si>
    <t>Alisson Becker</t>
  </si>
  <si>
    <t xml:space="preserve">Jamal Musiala </t>
  </si>
  <si>
    <t>Ecuador, Netherlands</t>
  </si>
  <si>
    <t>Belgium, Morocco</t>
  </si>
  <si>
    <t>Brazil, Serbia</t>
  </si>
  <si>
    <t>Mexico</t>
  </si>
  <si>
    <t>Ghana</t>
  </si>
  <si>
    <t>Uruguay</t>
  </si>
  <si>
    <t>Spain</t>
  </si>
  <si>
    <t>Selwyn</t>
  </si>
  <si>
    <t xml:space="preserve">Lionel Messi </t>
  </si>
  <si>
    <t xml:space="preserve">Thibaut Courtois </t>
  </si>
  <si>
    <t xml:space="preserve">Pedri </t>
  </si>
  <si>
    <t>England, Wales</t>
  </si>
  <si>
    <t>Argentina, Poland</t>
  </si>
  <si>
    <t>Denmark</t>
  </si>
  <si>
    <t>Portugal</t>
  </si>
  <si>
    <t>Vinicius Jr</t>
  </si>
  <si>
    <t>Bernardo Silva</t>
  </si>
  <si>
    <t>England</t>
  </si>
  <si>
    <t>Sonia</t>
  </si>
  <si>
    <t>Gabriel Jesus</t>
  </si>
  <si>
    <t>Neymar</t>
  </si>
  <si>
    <t>Diogo Costa</t>
  </si>
  <si>
    <t>Vitinha</t>
  </si>
  <si>
    <t>England, IR Iran</t>
  </si>
  <si>
    <t>Joao Felix</t>
  </si>
  <si>
    <t>Ansu Fati</t>
  </si>
  <si>
    <t>Martin</t>
  </si>
  <si>
    <t>Kylian Mbappé</t>
  </si>
  <si>
    <t>Cristiano Ronaldo</t>
  </si>
  <si>
    <t>Nuno Mendes</t>
  </si>
  <si>
    <t>Brazil, Switzerland</t>
  </si>
  <si>
    <t>Portugal, Ghana</t>
  </si>
  <si>
    <t>Argentina</t>
  </si>
  <si>
    <t>Paulo</t>
  </si>
  <si>
    <t>Mbappe</t>
  </si>
  <si>
    <t>Netherlands</t>
  </si>
  <si>
    <t>Ago</t>
  </si>
  <si>
    <t>Kylian Mbappe</t>
  </si>
  <si>
    <t>Lionel Messi</t>
  </si>
  <si>
    <t>Emiliano Martinez</t>
  </si>
  <si>
    <t>Gavi</t>
  </si>
  <si>
    <t>Qatar, Netherlands</t>
  </si>
  <si>
    <t>Result</t>
  </si>
  <si>
    <t>Prediction</t>
  </si>
  <si>
    <t>Score</t>
  </si>
  <si>
    <t>Golden Boot</t>
  </si>
  <si>
    <t>Lautaro Martinez</t>
  </si>
  <si>
    <t>Golden Ball</t>
  </si>
  <si>
    <t>Golden Glove</t>
  </si>
  <si>
    <t>Best Young Player</t>
  </si>
  <si>
    <t>Enzo Fernandez</t>
  </si>
  <si>
    <t>Netherlands, Senegal</t>
  </si>
  <si>
    <t xml:space="preserve">Argentina, Poland </t>
  </si>
  <si>
    <t>France, Australia</t>
  </si>
  <si>
    <t>Japan, Spain</t>
  </si>
  <si>
    <t>Morocco, Croatia</t>
  </si>
  <si>
    <t>Portugal, Korea Republic</t>
  </si>
  <si>
    <t>Fifa Fair Play</t>
  </si>
  <si>
    <t>Most Entertaining Team</t>
  </si>
  <si>
    <t>Finalist 1</t>
  </si>
  <si>
    <t>Finalist 2</t>
  </si>
  <si>
    <t>Champion</t>
  </si>
  <si>
    <t>Match Points</t>
  </si>
  <si>
    <t>Total</t>
  </si>
  <si>
    <t>Results</t>
  </si>
  <si>
    <t>Match</t>
  </si>
  <si>
    <t>Round</t>
  </si>
  <si>
    <t>DOW</t>
  </si>
  <si>
    <t>Date</t>
  </si>
  <si>
    <t>Time</t>
  </si>
  <si>
    <t>Team 1</t>
  </si>
  <si>
    <t>S1</t>
  </si>
  <si>
    <t>S2</t>
  </si>
  <si>
    <t>Team 2</t>
  </si>
  <si>
    <t>Penalties</t>
  </si>
  <si>
    <t>P1</t>
  </si>
  <si>
    <t>P2</t>
  </si>
  <si>
    <t>Sun</t>
  </si>
  <si>
    <t>Qatar</t>
  </si>
  <si>
    <t>Ecuador</t>
  </si>
  <si>
    <t>Mon</t>
  </si>
  <si>
    <t>Senegal</t>
  </si>
  <si>
    <t>Iran</t>
  </si>
  <si>
    <t>United States</t>
  </si>
  <si>
    <t>Wales</t>
  </si>
  <si>
    <t>Tue</t>
  </si>
  <si>
    <t>Saudi Arabia</t>
  </si>
  <si>
    <t>Tunisia</t>
  </si>
  <si>
    <t>Poland</t>
  </si>
  <si>
    <t>Australia</t>
  </si>
  <si>
    <t>Wed</t>
  </si>
  <si>
    <t>Morocco</t>
  </si>
  <si>
    <t>Croatia</t>
  </si>
  <si>
    <t>Costa Rica</t>
  </si>
  <si>
    <t>Belgium</t>
  </si>
  <si>
    <t>Canada</t>
  </si>
  <si>
    <t>Thu</t>
  </si>
  <si>
    <t>Switzerland</t>
  </si>
  <si>
    <t>Cameroon</t>
  </si>
  <si>
    <t>Korea Republic</t>
  </si>
  <si>
    <t>Serbia</t>
  </si>
  <si>
    <t>Fri</t>
  </si>
  <si>
    <t>Sat</t>
  </si>
  <si>
    <t>USA</t>
  </si>
  <si>
    <t xml:space="preserve">Argentina </t>
  </si>
  <si>
    <t xml:space="preserve">Poland </t>
  </si>
  <si>
    <t xml:space="preserve">Netherlands </t>
  </si>
  <si>
    <t>Daniel</t>
  </si>
  <si>
    <t>Team</t>
  </si>
  <si>
    <t>P</t>
  </si>
  <si>
    <t>W</t>
  </si>
  <si>
    <t>D</t>
  </si>
  <si>
    <t>L</t>
  </si>
  <si>
    <t>GF</t>
  </si>
  <si>
    <t>GA</t>
  </si>
  <si>
    <t>GD</t>
  </si>
  <si>
    <t>Pts</t>
  </si>
  <si>
    <t>Rank</t>
  </si>
  <si>
    <t>Pts Standings</t>
  </si>
  <si>
    <t>IR Iran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</si>
</sst>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mmm&quot; &quot;dd"/>
    <numFmt numFmtId="166" formatCode="hh:mm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0000"/>
      <name val="Arial"/>
      <scheme val="minor"/>
    </font>
    <font>
      <color rgb="FFFFFFFF"/>
      <name val="Arial"/>
      <scheme val="minor"/>
    </font>
    <font/>
    <font>
      <sz val="11.0"/>
      <color rgb="FF000000"/>
      <name val="Calibri"/>
    </font>
    <font>
      <color theme="1"/>
      <name val="Calibri"/>
    </font>
    <font>
      <b/>
      <sz val="11.0"/>
      <color rgb="FF000000"/>
      <name val="Calibri"/>
    </font>
    <font>
      <b/>
      <color theme="1"/>
      <name val="Calibri"/>
    </font>
    <font>
      <b/>
      <color theme="1"/>
      <name val="Arial"/>
    </font>
    <font>
      <sz val="11.0"/>
      <color rgb="FF7E3794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E3E9FF"/>
        <bgColor rgb="FFE3E9FF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</fills>
  <borders count="4">
    <border/>
    <border>
      <bottom style="thin">
        <color rgb="FF000000"/>
      </bottom>
    </border>
    <border>
      <left style="thin">
        <color rgb="FF3366FF"/>
      </left>
    </border>
    <border>
      <left style="thin">
        <color rgb="FF3366FF"/>
      </left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/>
    </xf>
    <xf borderId="0" fillId="0" fontId="2" numFmtId="0" xfId="0" applyFont="1"/>
    <xf borderId="0" fillId="2" fontId="2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3" fontId="1" numFmtId="0" xfId="0" applyFont="1"/>
    <xf borderId="0" fillId="4" fontId="2" numFmtId="0" xfId="0" applyAlignment="1" applyFill="1" applyFont="1">
      <alignment readingOrder="0"/>
    </xf>
    <xf borderId="0" fillId="4" fontId="1" numFmtId="0" xfId="0" applyFont="1"/>
    <xf borderId="0" fillId="5" fontId="2" numFmtId="0" xfId="0" applyAlignment="1" applyFill="1" applyFont="1">
      <alignment readingOrder="0"/>
    </xf>
    <xf borderId="0" fillId="5" fontId="1" numFmtId="0" xfId="0" applyFont="1"/>
    <xf borderId="0" fillId="6" fontId="2" numFmtId="0" xfId="0" applyAlignment="1" applyFill="1" applyFont="1">
      <alignment readingOrder="0"/>
    </xf>
    <xf borderId="0" fillId="6" fontId="1" numFmtId="0" xfId="0" applyFont="1"/>
    <xf borderId="0" fillId="7" fontId="2" numFmtId="0" xfId="0" applyAlignment="1" applyFill="1" applyFont="1">
      <alignment readingOrder="0"/>
    </xf>
    <xf borderId="0" fillId="7" fontId="1" numFmtId="0" xfId="0" applyFont="1"/>
    <xf borderId="0" fillId="8" fontId="2" numFmtId="0" xfId="0" applyAlignment="1" applyFill="1" applyFont="1">
      <alignment readingOrder="0"/>
    </xf>
    <xf borderId="0" fillId="8" fontId="1" numFmtId="0" xfId="0" applyFont="1"/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readingOrder="0"/>
    </xf>
    <xf borderId="1" fillId="5" fontId="2" numFmtId="0" xfId="0" applyAlignment="1" applyBorder="1" applyFont="1">
      <alignment readingOrder="0"/>
    </xf>
    <xf borderId="1" fillId="6" fontId="2" numFmtId="0" xfId="0" applyAlignment="1" applyBorder="1" applyFont="1">
      <alignment readingOrder="0"/>
    </xf>
    <xf borderId="1" fillId="7" fontId="2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2" fontId="1" numFmtId="0" xfId="0" applyAlignment="1" applyFont="1">
      <alignment readingOrder="0"/>
    </xf>
    <xf borderId="0" fillId="3" fontId="1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1" numFmtId="0" xfId="0" applyAlignment="1" applyFont="1">
      <alignment readingOrder="0"/>
    </xf>
    <xf borderId="0" fillId="6" fontId="1" numFmtId="0" xfId="0" applyAlignment="1" applyFont="1">
      <alignment readingOrder="0"/>
    </xf>
    <xf borderId="0" fillId="7" fontId="1" numFmtId="0" xfId="0" applyAlignment="1" applyFont="1">
      <alignment readingOrder="0"/>
    </xf>
    <xf borderId="0" fillId="8" fontId="1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1" fillId="5" fontId="1" numFmtId="0" xfId="0" applyAlignment="1" applyBorder="1" applyFont="1">
      <alignment readingOrder="0"/>
    </xf>
    <xf borderId="1" fillId="6" fontId="1" numFmtId="0" xfId="0" applyAlignment="1" applyBorder="1" applyFont="1">
      <alignment readingOrder="0"/>
    </xf>
    <xf borderId="1" fillId="7" fontId="1" numFmtId="0" xfId="0" applyAlignment="1" applyBorder="1" applyFont="1">
      <alignment readingOrder="0"/>
    </xf>
    <xf borderId="1" fillId="8" fontId="1" numFmtId="0" xfId="0" applyAlignment="1" applyBorder="1" applyFont="1">
      <alignment readingOrder="0"/>
    </xf>
    <xf borderId="0" fillId="2" fontId="2" numFmtId="0" xfId="0" applyFont="1"/>
    <xf borderId="0" fillId="3" fontId="2" numFmtId="0" xfId="0" applyFont="1"/>
    <xf borderId="0" fillId="4" fontId="2" numFmtId="0" xfId="0" applyFont="1"/>
    <xf borderId="0" fillId="5" fontId="2" numFmtId="0" xfId="0" applyFont="1"/>
    <xf borderId="0" fillId="6" fontId="2" numFmtId="0" xfId="0" applyFont="1"/>
    <xf borderId="0" fillId="7" fontId="2" numFmtId="0" xfId="0" applyFont="1"/>
    <xf borderId="0" fillId="8" fontId="2" numFmtId="0" xfId="0" applyFont="1"/>
    <xf borderId="1" fillId="2" fontId="1" numFmtId="0" xfId="0" applyBorder="1" applyFont="1"/>
    <xf borderId="1" fillId="2" fontId="2" numFmtId="0" xfId="0" applyBorder="1" applyFont="1"/>
    <xf borderId="1" fillId="3" fontId="1" numFmtId="0" xfId="0" applyBorder="1" applyFont="1"/>
    <xf borderId="1" fillId="3" fontId="2" numFmtId="0" xfId="0" applyBorder="1" applyFont="1"/>
    <xf borderId="1" fillId="4" fontId="1" numFmtId="0" xfId="0" applyBorder="1" applyFont="1"/>
    <xf borderId="1" fillId="4" fontId="2" numFmtId="0" xfId="0" applyBorder="1" applyFont="1"/>
    <xf borderId="1" fillId="5" fontId="1" numFmtId="0" xfId="0" applyBorder="1" applyFont="1"/>
    <xf borderId="1" fillId="5" fontId="2" numFmtId="0" xfId="0" applyBorder="1" applyFont="1"/>
    <xf borderId="1" fillId="6" fontId="1" numFmtId="0" xfId="0" applyBorder="1" applyFont="1"/>
    <xf borderId="1" fillId="6" fontId="2" numFmtId="0" xfId="0" applyBorder="1" applyFont="1"/>
    <xf borderId="1" fillId="7" fontId="1" numFmtId="0" xfId="0" applyBorder="1" applyFont="1"/>
    <xf borderId="1" fillId="7" fontId="2" numFmtId="0" xfId="0" applyBorder="1" applyFont="1"/>
    <xf borderId="1" fillId="8" fontId="1" numFmtId="0" xfId="0" applyBorder="1" applyFont="1"/>
    <xf borderId="1" fillId="8" fontId="2" numFmtId="0" xfId="0" applyBorder="1" applyFont="1"/>
    <xf borderId="1" fillId="0" fontId="3" numFmtId="0" xfId="0" applyAlignment="1" applyBorder="1" applyFont="1">
      <alignment horizontal="right" readingOrder="0"/>
    </xf>
    <xf borderId="1" fillId="0" fontId="3" numFmtId="0" xfId="0" applyBorder="1" applyFont="1"/>
    <xf borderId="1" fillId="9" fontId="3" numFmtId="0" xfId="0" applyBorder="1" applyFill="1" applyFont="1"/>
    <xf borderId="1" fillId="9" fontId="3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1" fillId="9" fontId="2" numFmtId="0" xfId="0" applyAlignment="1" applyBorder="1" applyFont="1">
      <alignment horizontal="center" readingOrder="0"/>
    </xf>
    <xf borderId="0" fillId="0" fontId="4" numFmtId="0" xfId="0" applyFont="1"/>
    <xf borderId="0" fillId="3" fontId="2" numFmtId="0" xfId="0" applyAlignment="1" applyFont="1">
      <alignment horizontal="left" readingOrder="0"/>
    </xf>
    <xf borderId="0" fillId="4" fontId="2" numFmtId="0" xfId="0" applyAlignment="1" applyFont="1">
      <alignment horizontal="left" readingOrder="0"/>
    </xf>
    <xf borderId="0" fillId="5" fontId="2" numFmtId="0" xfId="0" applyAlignment="1" applyFont="1">
      <alignment horizontal="left" readingOrder="0"/>
    </xf>
    <xf borderId="0" fillId="6" fontId="2" numFmtId="0" xfId="0" applyAlignment="1" applyFont="1">
      <alignment horizontal="left" readingOrder="0"/>
    </xf>
    <xf borderId="0" fillId="7" fontId="2" numFmtId="0" xfId="0" applyAlignment="1" applyFont="1">
      <alignment horizontal="left" readingOrder="0"/>
    </xf>
    <xf borderId="0" fillId="8" fontId="2" numFmtId="0" xfId="0" applyAlignment="1" applyFont="1">
      <alignment horizontal="left" readingOrder="0"/>
    </xf>
    <xf borderId="1" fillId="0" fontId="2" numFmtId="165" xfId="0" applyAlignment="1" applyBorder="1" applyFont="1" applyNumberFormat="1">
      <alignment horizontal="center" readingOrder="0"/>
    </xf>
    <xf borderId="1" fillId="0" fontId="5" numFmtId="0" xfId="0" applyBorder="1" applyFont="1"/>
    <xf borderId="1" fillId="2" fontId="2" numFmtId="0" xfId="0" applyAlignment="1" applyBorder="1" applyFont="1">
      <alignment horizontal="center" readingOrder="0"/>
    </xf>
    <xf borderId="1" fillId="0" fontId="4" numFmtId="0" xfId="0" applyBorder="1" applyFont="1"/>
    <xf borderId="1" fillId="3" fontId="2" numFmtId="0" xfId="0" applyAlignment="1" applyBorder="1" applyFont="1">
      <alignment horizontal="center" readingOrder="0"/>
    </xf>
    <xf borderId="1" fillId="3" fontId="2" numFmtId="0" xfId="0" applyAlignment="1" applyBorder="1" applyFont="1">
      <alignment readingOrder="0"/>
    </xf>
    <xf borderId="1" fillId="4" fontId="2" numFmtId="0" xfId="0" applyAlignment="1" applyBorder="1" applyFont="1">
      <alignment horizontal="center" readingOrder="0"/>
    </xf>
    <xf borderId="1" fillId="4" fontId="2" numFmtId="0" xfId="0" applyAlignment="1" applyBorder="1" applyFont="1">
      <alignment readingOrder="0"/>
    </xf>
    <xf borderId="1" fillId="5" fontId="2" numFmtId="0" xfId="0" applyAlignment="1" applyBorder="1" applyFont="1">
      <alignment horizontal="center" readingOrder="0"/>
    </xf>
    <xf borderId="1" fillId="5" fontId="2" numFmtId="0" xfId="0" applyAlignment="1" applyBorder="1" applyFont="1">
      <alignment readingOrder="0"/>
    </xf>
    <xf borderId="1" fillId="6" fontId="2" numFmtId="0" xfId="0" applyAlignment="1" applyBorder="1" applyFont="1">
      <alignment horizontal="center" readingOrder="0"/>
    </xf>
    <xf borderId="1" fillId="6" fontId="2" numFmtId="0" xfId="0" applyAlignment="1" applyBorder="1" applyFont="1">
      <alignment readingOrder="0"/>
    </xf>
    <xf borderId="1" fillId="7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readingOrder="0"/>
    </xf>
    <xf borderId="1" fillId="8" fontId="2" numFmtId="0" xfId="0" applyAlignment="1" applyBorder="1" applyFont="1">
      <alignment horizontal="center" readingOrder="0"/>
    </xf>
    <xf borderId="1" fillId="8" fontId="2" numFmtId="0" xfId="0" applyAlignment="1" applyBorder="1" applyFont="1">
      <alignment readingOrder="0"/>
    </xf>
    <xf borderId="2" fillId="9" fontId="6" numFmtId="0" xfId="0" applyAlignment="1" applyBorder="1" applyFont="1">
      <alignment horizontal="center" readingOrder="0" shrinkToFit="0" wrapText="0"/>
    </xf>
    <xf borderId="0" fillId="9" fontId="7" numFmtId="0" xfId="0" applyAlignment="1" applyFont="1">
      <alignment horizontal="center" readingOrder="0" shrinkToFit="0" wrapText="0"/>
    </xf>
    <xf borderId="0" fillId="9" fontId="6" numFmtId="165" xfId="0" applyAlignment="1" applyFont="1" applyNumberFormat="1">
      <alignment horizontal="center" readingOrder="0" shrinkToFit="0" wrapText="0"/>
    </xf>
    <xf borderId="0" fillId="9" fontId="6" numFmtId="166" xfId="0" applyAlignment="1" applyFont="1" applyNumberFormat="1">
      <alignment horizontal="center" readingOrder="0" shrinkToFit="0" wrapText="0"/>
    </xf>
    <xf borderId="0" fillId="0" fontId="6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3" fillId="9" fontId="6" numFmtId="0" xfId="0" applyAlignment="1" applyBorder="1" applyFont="1">
      <alignment horizontal="center" readingOrder="0" shrinkToFit="0" wrapText="0"/>
    </xf>
    <xf borderId="1" fillId="9" fontId="7" numFmtId="0" xfId="0" applyAlignment="1" applyBorder="1" applyFont="1">
      <alignment horizontal="center" readingOrder="0" shrinkToFit="0" wrapText="0"/>
    </xf>
    <xf borderId="1" fillId="9" fontId="6" numFmtId="165" xfId="0" applyAlignment="1" applyBorder="1" applyFont="1" applyNumberFormat="1">
      <alignment horizontal="center" readingOrder="0" shrinkToFit="0" wrapText="0"/>
    </xf>
    <xf borderId="1" fillId="9" fontId="6" numFmtId="166" xfId="0" applyAlignment="1" applyBorder="1" applyFont="1" applyNumberFormat="1">
      <alignment horizontal="center" readingOrder="0" shrinkToFit="0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6" numFmtId="0" xfId="0" applyAlignment="1" applyBorder="1" applyFont="1">
      <alignment horizontal="center" readingOrder="0" shrinkToFit="0" vertical="bottom" wrapText="0"/>
    </xf>
    <xf borderId="0" fillId="9" fontId="8" numFmtId="0" xfId="0" applyAlignment="1" applyFont="1">
      <alignment horizontal="center" readingOrder="0" shrinkToFit="0" wrapText="0"/>
    </xf>
    <xf borderId="0" fillId="9" fontId="9" numFmtId="0" xfId="0" applyAlignment="1" applyFont="1">
      <alignment horizontal="center" readingOrder="0" shrinkToFit="0" wrapText="0"/>
    </xf>
    <xf borderId="0" fillId="9" fontId="8" numFmtId="165" xfId="0" applyAlignment="1" applyFont="1" applyNumberFormat="1">
      <alignment horizontal="center" readingOrder="0" shrinkToFit="0" wrapText="0"/>
    </xf>
    <xf borderId="0" fillId="9" fontId="8" numFmtId="166" xfId="0" applyAlignment="1" applyFont="1" applyNumberFormat="1">
      <alignment horizontal="center" readingOrder="0" shrinkToFit="0" wrapText="0"/>
    </xf>
    <xf borderId="0" fillId="9" fontId="8" numFmtId="0" xfId="0" applyAlignment="1" applyFont="1">
      <alignment horizontal="left" readingOrder="0" shrinkToFit="0" vertical="bottom" wrapText="0"/>
    </xf>
    <xf borderId="0" fillId="9" fontId="8" numFmtId="0" xfId="0" applyAlignment="1" applyFont="1">
      <alignment horizontal="center" readingOrder="0" shrinkToFit="0" vertical="bottom" wrapText="0"/>
    </xf>
    <xf borderId="0" fillId="9" fontId="2" numFmtId="0" xfId="0" applyAlignment="1" applyFont="1">
      <alignment horizontal="center" readingOrder="0"/>
    </xf>
    <xf borderId="0" fillId="9" fontId="2" numFmtId="0" xfId="0" applyAlignment="1" applyFont="1">
      <alignment readingOrder="0"/>
    </xf>
    <xf borderId="0" fillId="9" fontId="6" numFmtId="0" xfId="0" applyAlignment="1" applyFont="1">
      <alignment horizontal="left" readingOrder="0" shrinkToFit="0" vertical="bottom" wrapText="0"/>
    </xf>
    <xf borderId="0" fillId="9" fontId="6" numFmtId="0" xfId="0" applyAlignment="1" applyFont="1">
      <alignment horizontal="center" readingOrder="0" shrinkToFit="0" vertical="bottom" wrapText="0"/>
    </xf>
    <xf borderId="0" fillId="9" fontId="1" numFmtId="0" xfId="0" applyAlignment="1" applyFont="1">
      <alignment horizontal="center"/>
    </xf>
    <xf borderId="0" fillId="9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9" fontId="6" numFmtId="0" xfId="0" applyAlignment="1" applyFont="1">
      <alignment horizontal="center" readingOrder="0" shrinkToFit="0" wrapText="0"/>
    </xf>
    <xf borderId="0" fillId="9" fontId="6" numFmtId="0" xfId="0" applyAlignment="1" applyFont="1">
      <alignment horizontal="left" readingOrder="0" shrinkToFit="0" wrapText="0"/>
    </xf>
    <xf borderId="0" fillId="9" fontId="1" numFmtId="0" xfId="0" applyAlignment="1" applyFont="1">
      <alignment horizontal="center" readingOrder="0"/>
    </xf>
    <xf borderId="0" fillId="9" fontId="1" numFmtId="165" xfId="0" applyAlignment="1" applyFont="1" applyNumberFormat="1">
      <alignment horizontal="center" readingOrder="0"/>
    </xf>
    <xf borderId="0" fillId="9" fontId="1" numFmtId="166" xfId="0" applyAlignment="1" applyFont="1" applyNumberFormat="1">
      <alignment horizontal="center" readingOrder="0"/>
    </xf>
    <xf borderId="0" fillId="9" fontId="1" numFmtId="0" xfId="0" applyFont="1"/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1" fillId="9" fontId="6" numFmtId="0" xfId="0" applyAlignment="1" applyBorder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/>
    </xf>
    <xf borderId="1" fillId="0" fontId="1" numFmtId="165" xfId="0" applyAlignment="1" applyBorder="1" applyFont="1" applyNumberFormat="1">
      <alignment horizontal="center" readingOrder="0"/>
    </xf>
    <xf borderId="1" fillId="0" fontId="1" numFmtId="166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/>
    </xf>
    <xf borderId="0" fillId="9" fontId="2" numFmtId="0" xfId="0" applyFont="1"/>
    <xf borderId="0" fillId="3" fontId="3" numFmtId="0" xfId="0" applyFont="1"/>
    <xf borderId="0" fillId="5" fontId="3" numFmtId="0" xfId="0" applyAlignment="1" applyFont="1">
      <alignment readingOrder="0"/>
    </xf>
    <xf borderId="0" fillId="8" fontId="3" numFmtId="0" xfId="0" applyFont="1"/>
    <xf borderId="0" fillId="9" fontId="4" numFmtId="0" xfId="0" applyAlignment="1" applyFont="1">
      <alignment readingOrder="0"/>
    </xf>
    <xf borderId="0" fillId="9" fontId="1" numFmtId="165" xfId="0" applyAlignment="1" applyFont="1" applyNumberFormat="1">
      <alignment horizontal="center"/>
    </xf>
    <xf borderId="0" fillId="2" fontId="10" numFmtId="0" xfId="0" applyAlignment="1" applyFont="1">
      <alignment vertical="bottom"/>
    </xf>
    <xf borderId="0" fillId="3" fontId="10" numFmtId="0" xfId="0" applyAlignment="1" applyFont="1">
      <alignment vertical="bottom"/>
    </xf>
    <xf borderId="0" fillId="10" fontId="10" numFmtId="0" xfId="0" applyAlignment="1" applyFill="1" applyFont="1">
      <alignment vertical="bottom"/>
    </xf>
    <xf borderId="0" fillId="4" fontId="10" numFmtId="0" xfId="0" applyAlignment="1" applyFont="1">
      <alignment vertical="bottom"/>
    </xf>
    <xf borderId="0" fillId="5" fontId="10" numFmtId="0" xfId="0" applyAlignment="1" applyFont="1">
      <alignment vertical="bottom"/>
    </xf>
    <xf borderId="0" fillId="6" fontId="10" numFmtId="0" xfId="0" applyAlignment="1" applyFont="1">
      <alignment vertical="bottom"/>
    </xf>
    <xf borderId="0" fillId="7" fontId="10" numFmtId="0" xfId="0" applyAlignment="1" applyFont="1">
      <alignment vertical="bottom"/>
    </xf>
    <xf borderId="0" fillId="8" fontId="10" numFmtId="0" xfId="0" applyAlignment="1" applyFont="1">
      <alignment vertical="bottom"/>
    </xf>
    <xf borderId="0" fillId="0" fontId="1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 t="s">
        <v>20</v>
      </c>
    </row>
    <row r="2">
      <c r="A2" s="3">
        <v>44877.68653987268</v>
      </c>
      <c r="B2" s="4" t="s">
        <v>21</v>
      </c>
      <c r="C2" s="4">
        <v>2279.0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  <c r="L2" s="4" t="s">
        <v>30</v>
      </c>
      <c r="M2" s="4" t="s">
        <v>31</v>
      </c>
      <c r="N2" s="4" t="s">
        <v>32</v>
      </c>
      <c r="O2" s="4" t="s">
        <v>33</v>
      </c>
      <c r="P2" s="4" t="s">
        <v>34</v>
      </c>
      <c r="Q2" s="4" t="s">
        <v>35</v>
      </c>
      <c r="R2" s="4" t="s">
        <v>35</v>
      </c>
      <c r="S2" s="4" t="s">
        <v>36</v>
      </c>
      <c r="T2" s="4" t="s">
        <v>37</v>
      </c>
      <c r="U2" s="4" t="s">
        <v>38</v>
      </c>
    </row>
    <row r="3">
      <c r="A3" s="3">
        <v>44879.2164665625</v>
      </c>
      <c r="B3" s="4" t="s">
        <v>39</v>
      </c>
      <c r="C3" s="4">
        <v>2269.0</v>
      </c>
      <c r="D3" s="4" t="s">
        <v>40</v>
      </c>
      <c r="E3" s="4" t="s">
        <v>41</v>
      </c>
      <c r="F3" s="4" t="s">
        <v>42</v>
      </c>
      <c r="G3" s="4" t="s">
        <v>43</v>
      </c>
      <c r="H3" s="4" t="s">
        <v>44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45</v>
      </c>
      <c r="N3" s="4" t="s">
        <v>46</v>
      </c>
      <c r="O3" s="4" t="s">
        <v>33</v>
      </c>
      <c r="P3" s="4" t="s">
        <v>47</v>
      </c>
      <c r="Q3" s="4" t="s">
        <v>48</v>
      </c>
      <c r="R3" s="4" t="s">
        <v>49</v>
      </c>
      <c r="S3" s="4" t="s">
        <v>50</v>
      </c>
      <c r="T3" s="4" t="s">
        <v>35</v>
      </c>
      <c r="U3" s="4" t="s">
        <v>38</v>
      </c>
    </row>
    <row r="4">
      <c r="A4" s="3">
        <v>44880.42299560185</v>
      </c>
      <c r="B4" s="4" t="s">
        <v>51</v>
      </c>
      <c r="C4" s="4">
        <v>5589.0</v>
      </c>
      <c r="D4" s="4" t="s">
        <v>52</v>
      </c>
      <c r="E4" s="4" t="s">
        <v>52</v>
      </c>
      <c r="F4" s="4" t="s">
        <v>53</v>
      </c>
      <c r="G4" s="4" t="s">
        <v>54</v>
      </c>
      <c r="H4" s="4" t="s">
        <v>26</v>
      </c>
      <c r="I4" s="4" t="s">
        <v>55</v>
      </c>
      <c r="J4" s="4" t="s">
        <v>56</v>
      </c>
      <c r="K4" s="4" t="s">
        <v>29</v>
      </c>
      <c r="L4" s="4" t="s">
        <v>30</v>
      </c>
      <c r="M4" s="4" t="s">
        <v>31</v>
      </c>
      <c r="N4" s="4" t="s">
        <v>46</v>
      </c>
      <c r="O4" s="4" t="s">
        <v>33</v>
      </c>
      <c r="P4" s="4" t="s">
        <v>57</v>
      </c>
      <c r="Q4" s="4" t="s">
        <v>35</v>
      </c>
      <c r="R4" s="4" t="s">
        <v>35</v>
      </c>
      <c r="S4" s="4" t="s">
        <v>36</v>
      </c>
      <c r="T4" s="4" t="s">
        <v>58</v>
      </c>
      <c r="U4" s="4" t="s">
        <v>38</v>
      </c>
    </row>
    <row r="5">
      <c r="A5" s="3">
        <v>44881.67732116898</v>
      </c>
      <c r="B5" s="4" t="s">
        <v>21</v>
      </c>
      <c r="C5" s="4">
        <v>2279.0</v>
      </c>
      <c r="D5" s="4" t="s">
        <v>59</v>
      </c>
      <c r="E5" s="4" t="s">
        <v>60</v>
      </c>
      <c r="F5" s="4" t="s">
        <v>42</v>
      </c>
      <c r="G5" s="4" t="s">
        <v>25</v>
      </c>
      <c r="H5" s="4" t="s">
        <v>26</v>
      </c>
      <c r="I5" s="4" t="s">
        <v>27</v>
      </c>
      <c r="J5" s="4" t="s">
        <v>56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  <c r="R5" s="4" t="s">
        <v>61</v>
      </c>
      <c r="S5" s="4" t="s">
        <v>36</v>
      </c>
      <c r="T5" s="4" t="s">
        <v>35</v>
      </c>
      <c r="U5" s="4" t="s">
        <v>38</v>
      </c>
    </row>
    <row r="6">
      <c r="A6" s="3">
        <v>44882.64827864584</v>
      </c>
      <c r="B6" s="4" t="s">
        <v>62</v>
      </c>
      <c r="C6" s="4">
        <v>8934.0</v>
      </c>
      <c r="D6" s="4" t="s">
        <v>63</v>
      </c>
      <c r="E6" s="4" t="s">
        <v>64</v>
      </c>
      <c r="F6" s="4" t="s">
        <v>65</v>
      </c>
      <c r="G6" s="4" t="s">
        <v>66</v>
      </c>
      <c r="H6" s="4" t="s">
        <v>26</v>
      </c>
      <c r="I6" s="4" t="s">
        <v>67</v>
      </c>
      <c r="J6" s="4" t="s">
        <v>56</v>
      </c>
      <c r="K6" s="4" t="s">
        <v>29</v>
      </c>
      <c r="L6" s="4" t="s">
        <v>30</v>
      </c>
      <c r="M6" s="4" t="s">
        <v>31</v>
      </c>
      <c r="N6" s="4" t="s">
        <v>46</v>
      </c>
      <c r="O6" s="4" t="s">
        <v>33</v>
      </c>
      <c r="P6" s="4" t="s">
        <v>57</v>
      </c>
      <c r="Q6" s="4" t="s">
        <v>35</v>
      </c>
      <c r="R6" s="4" t="s">
        <v>35</v>
      </c>
      <c r="S6" s="4" t="s">
        <v>36</v>
      </c>
      <c r="T6" s="4" t="s">
        <v>35</v>
      </c>
      <c r="U6" s="4" t="s">
        <v>38</v>
      </c>
    </row>
    <row r="7">
      <c r="A7" s="3">
        <v>44884.55352377315</v>
      </c>
      <c r="B7" s="4" t="s">
        <v>62</v>
      </c>
      <c r="C7" s="4">
        <v>8934.0</v>
      </c>
      <c r="D7" s="4" t="s">
        <v>63</v>
      </c>
      <c r="E7" s="4" t="s">
        <v>68</v>
      </c>
      <c r="F7" s="4" t="s">
        <v>65</v>
      </c>
      <c r="G7" s="4" t="s">
        <v>69</v>
      </c>
      <c r="H7" s="4" t="s">
        <v>26</v>
      </c>
      <c r="I7" s="4" t="s">
        <v>67</v>
      </c>
      <c r="J7" s="4" t="s">
        <v>56</v>
      </c>
      <c r="K7" s="4" t="s">
        <v>29</v>
      </c>
      <c r="L7" s="4" t="s">
        <v>30</v>
      </c>
      <c r="M7" s="4" t="s">
        <v>31</v>
      </c>
      <c r="N7" s="4" t="s">
        <v>46</v>
      </c>
      <c r="O7" s="4" t="s">
        <v>33</v>
      </c>
      <c r="P7" s="4" t="s">
        <v>57</v>
      </c>
      <c r="Q7" s="4" t="s">
        <v>35</v>
      </c>
      <c r="R7" s="4" t="s">
        <v>58</v>
      </c>
      <c r="S7" s="4" t="s">
        <v>35</v>
      </c>
      <c r="T7" s="4" t="s">
        <v>58</v>
      </c>
      <c r="U7" s="4" t="s">
        <v>38</v>
      </c>
    </row>
    <row r="8">
      <c r="A8" s="3">
        <v>44884.69473621528</v>
      </c>
      <c r="B8" s="4" t="s">
        <v>70</v>
      </c>
      <c r="C8" s="4">
        <v>2648.0</v>
      </c>
      <c r="D8" s="4" t="s">
        <v>71</v>
      </c>
      <c r="E8" s="4" t="s">
        <v>72</v>
      </c>
      <c r="F8" s="4" t="s">
        <v>65</v>
      </c>
      <c r="G8" s="4" t="s">
        <v>73</v>
      </c>
      <c r="H8" s="4" t="s">
        <v>44</v>
      </c>
      <c r="I8" s="4" t="s">
        <v>55</v>
      </c>
      <c r="J8" s="4" t="s">
        <v>56</v>
      </c>
      <c r="K8" s="4" t="s">
        <v>29</v>
      </c>
      <c r="L8" s="4" t="s">
        <v>30</v>
      </c>
      <c r="M8" s="4" t="s">
        <v>31</v>
      </c>
      <c r="N8" s="4" t="s">
        <v>74</v>
      </c>
      <c r="O8" s="4" t="s">
        <v>75</v>
      </c>
      <c r="P8" s="4" t="s">
        <v>57</v>
      </c>
      <c r="Q8" s="4" t="s">
        <v>35</v>
      </c>
      <c r="R8" s="4" t="s">
        <v>58</v>
      </c>
      <c r="S8" s="4" t="s">
        <v>76</v>
      </c>
      <c r="T8" s="4" t="s">
        <v>58</v>
      </c>
      <c r="U8" s="4" t="s">
        <v>38</v>
      </c>
    </row>
    <row r="9">
      <c r="A9" s="3">
        <v>44885.56951162037</v>
      </c>
      <c r="B9" s="4" t="s">
        <v>77</v>
      </c>
      <c r="C9" s="4">
        <v>6025.0</v>
      </c>
      <c r="D9" s="4" t="s">
        <v>78</v>
      </c>
      <c r="E9" s="4" t="s">
        <v>64</v>
      </c>
      <c r="F9" s="4" t="s">
        <v>65</v>
      </c>
      <c r="G9" s="4" t="s">
        <v>25</v>
      </c>
      <c r="H9" s="4" t="s">
        <v>44</v>
      </c>
      <c r="I9" s="4" t="s">
        <v>55</v>
      </c>
      <c r="J9" s="4" t="s">
        <v>56</v>
      </c>
      <c r="K9" s="4" t="s">
        <v>29</v>
      </c>
      <c r="L9" s="4" t="s">
        <v>30</v>
      </c>
      <c r="M9" s="4" t="s">
        <v>31</v>
      </c>
      <c r="N9" s="4" t="s">
        <v>46</v>
      </c>
      <c r="O9" s="4" t="s">
        <v>33</v>
      </c>
      <c r="P9" s="4" t="s">
        <v>34</v>
      </c>
      <c r="Q9" s="4" t="s">
        <v>79</v>
      </c>
      <c r="R9" s="4" t="s">
        <v>35</v>
      </c>
      <c r="S9" s="4" t="s">
        <v>36</v>
      </c>
      <c r="T9" s="4" t="s">
        <v>35</v>
      </c>
      <c r="U9" s="4" t="s">
        <v>38</v>
      </c>
    </row>
    <row r="10">
      <c r="A10" s="3">
        <v>44885.607420949076</v>
      </c>
      <c r="B10" s="4" t="s">
        <v>80</v>
      </c>
      <c r="C10" s="4">
        <v>7803.0</v>
      </c>
      <c r="D10" s="4" t="s">
        <v>81</v>
      </c>
      <c r="E10" s="4" t="s">
        <v>82</v>
      </c>
      <c r="F10" s="4" t="s">
        <v>83</v>
      </c>
      <c r="G10" s="4" t="s">
        <v>84</v>
      </c>
      <c r="H10" s="4" t="s">
        <v>85</v>
      </c>
      <c r="I10" s="4" t="s">
        <v>55</v>
      </c>
      <c r="J10" s="4" t="s">
        <v>28</v>
      </c>
      <c r="K10" s="4" t="s">
        <v>29</v>
      </c>
      <c r="L10" s="4" t="s">
        <v>30</v>
      </c>
      <c r="M10" s="4" t="s">
        <v>31</v>
      </c>
      <c r="N10" s="4" t="s">
        <v>32</v>
      </c>
      <c r="O10" s="4" t="s">
        <v>33</v>
      </c>
      <c r="P10" s="4" t="s">
        <v>57</v>
      </c>
      <c r="Q10" s="4" t="s">
        <v>50</v>
      </c>
      <c r="R10" s="4" t="s">
        <v>36</v>
      </c>
      <c r="S10" s="4" t="s">
        <v>76</v>
      </c>
      <c r="T10" s="4" t="s">
        <v>58</v>
      </c>
      <c r="U10" s="4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4.75"/>
    <col customWidth="1" min="2" max="2" width="1.38"/>
    <col customWidth="1" min="3" max="4" width="15.13"/>
    <col customWidth="1" min="5" max="5" width="5.25"/>
    <col customWidth="1" min="6" max="6" width="1.38"/>
    <col customWidth="1" min="7" max="7" width="15.13"/>
    <col customWidth="1" min="8" max="8" width="5.25"/>
    <col customWidth="1" min="9" max="9" width="1.38"/>
    <col customWidth="1" min="10" max="10" width="15.13"/>
    <col customWidth="1" min="11" max="11" width="5.25"/>
    <col customWidth="1" min="12" max="12" width="1.38"/>
    <col customWidth="1" min="13" max="13" width="15.13"/>
    <col customWidth="1" min="14" max="14" width="5.25"/>
    <col customWidth="1" min="15" max="15" width="1.38"/>
    <col customWidth="1" min="16" max="16" width="15.13"/>
    <col customWidth="1" min="17" max="17" width="5.25"/>
    <col customWidth="1" min="18" max="18" width="1.38"/>
    <col customWidth="1" min="19" max="19" width="15.13"/>
    <col customWidth="1" min="20" max="20" width="5.25"/>
    <col customWidth="1" min="21" max="21" width="1.38"/>
    <col customWidth="1" min="22" max="22" width="15.13"/>
    <col customWidth="1" min="23" max="23" width="5.25"/>
  </cols>
  <sheetData>
    <row r="1">
      <c r="A1" s="5"/>
      <c r="B1" s="6"/>
      <c r="C1" s="6"/>
      <c r="D1" s="7" t="s">
        <v>70</v>
      </c>
      <c r="E1" s="8"/>
      <c r="F1" s="9"/>
      <c r="G1" s="10" t="s">
        <v>80</v>
      </c>
      <c r="H1" s="11"/>
      <c r="I1" s="9"/>
      <c r="J1" s="12" t="s">
        <v>62</v>
      </c>
      <c r="K1" s="13"/>
      <c r="L1" s="9"/>
      <c r="M1" s="14" t="s">
        <v>39</v>
      </c>
      <c r="N1" s="15"/>
      <c r="O1" s="9"/>
      <c r="P1" s="16" t="s">
        <v>77</v>
      </c>
      <c r="Q1" s="17"/>
      <c r="R1" s="9"/>
      <c r="S1" s="18" t="s">
        <v>51</v>
      </c>
      <c r="T1" s="19"/>
      <c r="U1" s="9"/>
      <c r="V1" s="20" t="s">
        <v>21</v>
      </c>
      <c r="W1" s="21"/>
    </row>
    <row r="2">
      <c r="A2" s="22"/>
      <c r="B2" s="23"/>
      <c r="C2" s="23" t="s">
        <v>86</v>
      </c>
      <c r="D2" s="24" t="s">
        <v>87</v>
      </c>
      <c r="E2" s="24" t="s">
        <v>88</v>
      </c>
      <c r="F2" s="25"/>
      <c r="G2" s="26" t="s">
        <v>87</v>
      </c>
      <c r="H2" s="26" t="s">
        <v>88</v>
      </c>
      <c r="I2" s="25"/>
      <c r="J2" s="27" t="s">
        <v>87</v>
      </c>
      <c r="K2" s="27" t="s">
        <v>88</v>
      </c>
      <c r="L2" s="25"/>
      <c r="M2" s="28" t="s">
        <v>87</v>
      </c>
      <c r="N2" s="28" t="s">
        <v>88</v>
      </c>
      <c r="O2" s="25"/>
      <c r="P2" s="29" t="s">
        <v>87</v>
      </c>
      <c r="Q2" s="29" t="s">
        <v>88</v>
      </c>
      <c r="R2" s="25"/>
      <c r="S2" s="30" t="s">
        <v>87</v>
      </c>
      <c r="T2" s="30" t="s">
        <v>88</v>
      </c>
      <c r="U2" s="25"/>
      <c r="V2" s="31" t="s">
        <v>87</v>
      </c>
      <c r="W2" s="31" t="s">
        <v>88</v>
      </c>
    </row>
    <row r="3">
      <c r="A3" s="32" t="s">
        <v>89</v>
      </c>
      <c r="C3" s="4" t="s">
        <v>81</v>
      </c>
      <c r="D3" s="33" t="s">
        <v>71</v>
      </c>
      <c r="E3" s="33">
        <v>5.0</v>
      </c>
      <c r="G3" s="34" t="s">
        <v>81</v>
      </c>
      <c r="H3" s="34">
        <v>5.0</v>
      </c>
      <c r="J3" s="35" t="s">
        <v>63</v>
      </c>
      <c r="K3" s="35">
        <v>0.0</v>
      </c>
      <c r="M3" s="36" t="s">
        <v>90</v>
      </c>
      <c r="N3" s="36">
        <v>0.0</v>
      </c>
      <c r="P3" s="37" t="s">
        <v>78</v>
      </c>
      <c r="Q3" s="37">
        <v>5.0</v>
      </c>
      <c r="S3" s="38" t="s">
        <v>52</v>
      </c>
      <c r="T3" s="38">
        <v>0.0</v>
      </c>
      <c r="V3" s="39" t="s">
        <v>59</v>
      </c>
      <c r="W3" s="39">
        <v>0.0</v>
      </c>
    </row>
    <row r="4">
      <c r="A4" s="32" t="s">
        <v>91</v>
      </c>
      <c r="C4" s="4" t="s">
        <v>82</v>
      </c>
      <c r="D4" s="33" t="s">
        <v>72</v>
      </c>
      <c r="E4" s="33">
        <v>0.0</v>
      </c>
      <c r="G4" s="34" t="s">
        <v>82</v>
      </c>
      <c r="H4" s="34">
        <v>5.0</v>
      </c>
      <c r="J4" s="35" t="s">
        <v>68</v>
      </c>
      <c r="K4" s="35">
        <v>0.0</v>
      </c>
      <c r="M4" s="36" t="s">
        <v>41</v>
      </c>
      <c r="N4" s="36">
        <v>0.0</v>
      </c>
      <c r="P4" s="37" t="s">
        <v>64</v>
      </c>
      <c r="Q4" s="37">
        <v>0.0</v>
      </c>
      <c r="S4" s="38" t="s">
        <v>52</v>
      </c>
      <c r="T4" s="38">
        <v>5.0</v>
      </c>
      <c r="V4" s="39" t="s">
        <v>60</v>
      </c>
      <c r="W4" s="39">
        <v>0.0</v>
      </c>
    </row>
    <row r="5">
      <c r="A5" s="32" t="s">
        <v>92</v>
      </c>
      <c r="C5" s="40" t="s">
        <v>83</v>
      </c>
      <c r="D5" s="33" t="s">
        <v>65</v>
      </c>
      <c r="E5" s="33">
        <v>0.0</v>
      </c>
      <c r="G5" s="34" t="s">
        <v>83</v>
      </c>
      <c r="H5" s="34">
        <v>5.0</v>
      </c>
      <c r="J5" s="35" t="s">
        <v>65</v>
      </c>
      <c r="K5" s="35">
        <v>0.0</v>
      </c>
      <c r="M5" s="36" t="s">
        <v>42</v>
      </c>
      <c r="N5" s="36">
        <v>0.0</v>
      </c>
      <c r="P5" s="37" t="s">
        <v>65</v>
      </c>
      <c r="Q5" s="37">
        <v>0.0</v>
      </c>
      <c r="S5" s="38" t="s">
        <v>53</v>
      </c>
      <c r="T5" s="38">
        <v>0.0</v>
      </c>
      <c r="V5" s="39" t="s">
        <v>42</v>
      </c>
      <c r="W5" s="39">
        <v>0.0</v>
      </c>
    </row>
    <row r="6">
      <c r="A6" s="32" t="s">
        <v>93</v>
      </c>
      <c r="C6" s="4" t="s">
        <v>94</v>
      </c>
      <c r="D6" s="33" t="s">
        <v>73</v>
      </c>
      <c r="E6" s="33">
        <v>0.0</v>
      </c>
      <c r="G6" s="34" t="s">
        <v>84</v>
      </c>
      <c r="H6" s="34">
        <v>0.0</v>
      </c>
      <c r="J6" s="35" t="s">
        <v>69</v>
      </c>
      <c r="K6" s="35">
        <v>0.0</v>
      </c>
      <c r="M6" s="36" t="s">
        <v>43</v>
      </c>
      <c r="N6" s="36">
        <v>0.0</v>
      </c>
      <c r="P6" s="37" t="s">
        <v>25</v>
      </c>
      <c r="Q6" s="37">
        <v>0.0</v>
      </c>
      <c r="S6" s="38" t="s">
        <v>54</v>
      </c>
      <c r="T6" s="38">
        <v>0.0</v>
      </c>
      <c r="V6" s="39" t="s">
        <v>25</v>
      </c>
      <c r="W6" s="39">
        <v>0.0</v>
      </c>
    </row>
    <row r="7">
      <c r="A7" s="32" t="s">
        <v>7</v>
      </c>
      <c r="C7" s="4" t="s">
        <v>95</v>
      </c>
      <c r="D7" s="33" t="s">
        <v>44</v>
      </c>
      <c r="E7" s="33">
        <v>2.0</v>
      </c>
      <c r="G7" s="34" t="s">
        <v>85</v>
      </c>
      <c r="H7" s="34">
        <v>2.0</v>
      </c>
      <c r="J7" s="35" t="s">
        <v>26</v>
      </c>
      <c r="K7" s="35">
        <v>4.0</v>
      </c>
      <c r="M7" s="36" t="s">
        <v>44</v>
      </c>
      <c r="N7" s="36">
        <v>2.0</v>
      </c>
      <c r="P7" s="37" t="s">
        <v>44</v>
      </c>
      <c r="Q7" s="37">
        <v>2.0</v>
      </c>
      <c r="S7" s="38" t="s">
        <v>26</v>
      </c>
      <c r="T7" s="38">
        <v>4.0</v>
      </c>
      <c r="V7" s="39" t="s">
        <v>26</v>
      </c>
      <c r="W7" s="39">
        <v>4.0</v>
      </c>
    </row>
    <row r="8">
      <c r="A8" s="32" t="s">
        <v>8</v>
      </c>
      <c r="C8" s="4" t="s">
        <v>27</v>
      </c>
      <c r="D8" s="33" t="s">
        <v>55</v>
      </c>
      <c r="E8" s="33">
        <v>2.0</v>
      </c>
      <c r="G8" s="34" t="s">
        <v>55</v>
      </c>
      <c r="H8" s="34">
        <v>2.0</v>
      </c>
      <c r="J8" s="35" t="s">
        <v>67</v>
      </c>
      <c r="K8" s="35">
        <v>2.0</v>
      </c>
      <c r="M8" s="36" t="s">
        <v>27</v>
      </c>
      <c r="N8" s="36">
        <v>4.0</v>
      </c>
      <c r="P8" s="37" t="s">
        <v>55</v>
      </c>
      <c r="Q8" s="37">
        <v>2.0</v>
      </c>
      <c r="S8" s="38" t="s">
        <v>55</v>
      </c>
      <c r="T8" s="38">
        <v>2.0</v>
      </c>
      <c r="V8" s="39" t="s">
        <v>27</v>
      </c>
      <c r="W8" s="39">
        <v>4.0</v>
      </c>
    </row>
    <row r="9">
      <c r="A9" s="32" t="s">
        <v>9</v>
      </c>
      <c r="C9" s="4" t="s">
        <v>96</v>
      </c>
      <c r="D9" s="33" t="s">
        <v>56</v>
      </c>
      <c r="E9" s="33">
        <v>4.0</v>
      </c>
      <c r="G9" s="34" t="s">
        <v>28</v>
      </c>
      <c r="H9" s="34">
        <v>2.0</v>
      </c>
      <c r="J9" s="35" t="s">
        <v>56</v>
      </c>
      <c r="K9" s="35">
        <v>4.0</v>
      </c>
      <c r="M9" s="36" t="s">
        <v>28</v>
      </c>
      <c r="N9" s="36">
        <v>2.0</v>
      </c>
      <c r="P9" s="37" t="s">
        <v>56</v>
      </c>
      <c r="Q9" s="37">
        <v>4.0</v>
      </c>
      <c r="S9" s="38" t="s">
        <v>56</v>
      </c>
      <c r="T9" s="38">
        <v>4.0</v>
      </c>
      <c r="V9" s="39" t="s">
        <v>56</v>
      </c>
      <c r="W9" s="39">
        <v>4.0</v>
      </c>
    </row>
    <row r="10">
      <c r="A10" s="32" t="s">
        <v>10</v>
      </c>
      <c r="C10" s="4" t="s">
        <v>97</v>
      </c>
      <c r="D10" s="33" t="s">
        <v>29</v>
      </c>
      <c r="E10" s="33">
        <v>2.0</v>
      </c>
      <c r="G10" s="34" t="s">
        <v>29</v>
      </c>
      <c r="H10" s="34">
        <v>2.0</v>
      </c>
      <c r="J10" s="35" t="s">
        <v>29</v>
      </c>
      <c r="K10" s="35">
        <v>2.0</v>
      </c>
      <c r="M10" s="36" t="s">
        <v>29</v>
      </c>
      <c r="N10" s="36">
        <v>2.0</v>
      </c>
      <c r="P10" s="37" t="s">
        <v>29</v>
      </c>
      <c r="Q10" s="37">
        <v>2.0</v>
      </c>
      <c r="S10" s="38" t="s">
        <v>29</v>
      </c>
      <c r="T10" s="38">
        <v>2.0</v>
      </c>
      <c r="V10" s="39" t="s">
        <v>29</v>
      </c>
      <c r="W10" s="39">
        <v>2.0</v>
      </c>
    </row>
    <row r="11">
      <c r="A11" s="32" t="s">
        <v>11</v>
      </c>
      <c r="C11" s="4" t="s">
        <v>98</v>
      </c>
      <c r="D11" s="33" t="s">
        <v>30</v>
      </c>
      <c r="E11" s="33">
        <v>2.0</v>
      </c>
      <c r="G11" s="34" t="s">
        <v>30</v>
      </c>
      <c r="H11" s="34">
        <v>2.0</v>
      </c>
      <c r="J11" s="35" t="s">
        <v>30</v>
      </c>
      <c r="K11" s="35">
        <v>2.0</v>
      </c>
      <c r="M11" s="36" t="s">
        <v>30</v>
      </c>
      <c r="N11" s="36">
        <v>2.0</v>
      </c>
      <c r="P11" s="37" t="s">
        <v>30</v>
      </c>
      <c r="Q11" s="37">
        <v>2.0</v>
      </c>
      <c r="S11" s="38" t="s">
        <v>30</v>
      </c>
      <c r="T11" s="38">
        <v>2.0</v>
      </c>
      <c r="V11" s="39" t="s">
        <v>30</v>
      </c>
      <c r="W11" s="39">
        <v>2.0</v>
      </c>
    </row>
    <row r="12">
      <c r="A12" s="32" t="s">
        <v>12</v>
      </c>
      <c r="C12" s="4" t="s">
        <v>99</v>
      </c>
      <c r="D12" s="33" t="s">
        <v>31</v>
      </c>
      <c r="E12" s="33">
        <v>2.0</v>
      </c>
      <c r="G12" s="34" t="s">
        <v>31</v>
      </c>
      <c r="H12" s="34">
        <v>2.0</v>
      </c>
      <c r="J12" s="35" t="s">
        <v>31</v>
      </c>
      <c r="K12" s="35">
        <v>2.0</v>
      </c>
      <c r="M12" s="36" t="s">
        <v>45</v>
      </c>
      <c r="N12" s="36">
        <v>2.0</v>
      </c>
      <c r="P12" s="37" t="s">
        <v>31</v>
      </c>
      <c r="Q12" s="37">
        <v>2.0</v>
      </c>
      <c r="S12" s="38" t="s">
        <v>31</v>
      </c>
      <c r="T12" s="38">
        <v>2.0</v>
      </c>
      <c r="V12" s="39" t="s">
        <v>31</v>
      </c>
      <c r="W12" s="39">
        <v>2.0</v>
      </c>
    </row>
    <row r="13">
      <c r="A13" s="32" t="s">
        <v>13</v>
      </c>
      <c r="C13" s="4" t="s">
        <v>74</v>
      </c>
      <c r="D13" s="33" t="s">
        <v>74</v>
      </c>
      <c r="E13" s="33">
        <v>4.0</v>
      </c>
      <c r="G13" s="34" t="s">
        <v>32</v>
      </c>
      <c r="H13" s="34">
        <v>2.0</v>
      </c>
      <c r="J13" s="35" t="s">
        <v>46</v>
      </c>
      <c r="K13" s="35">
        <v>2.0</v>
      </c>
      <c r="M13" s="36" t="s">
        <v>46</v>
      </c>
      <c r="N13" s="36">
        <v>2.0</v>
      </c>
      <c r="P13" s="37" t="s">
        <v>46</v>
      </c>
      <c r="Q13" s="37">
        <v>2.0</v>
      </c>
      <c r="S13" s="38" t="s">
        <v>46</v>
      </c>
      <c r="T13" s="38">
        <v>2.0</v>
      </c>
      <c r="V13" s="39" t="s">
        <v>32</v>
      </c>
      <c r="W13" s="39">
        <v>2.0</v>
      </c>
    </row>
    <row r="14">
      <c r="A14" s="32" t="s">
        <v>14</v>
      </c>
      <c r="C14" s="4" t="s">
        <v>100</v>
      </c>
      <c r="D14" s="33" t="s">
        <v>75</v>
      </c>
      <c r="E14" s="33">
        <v>2.0</v>
      </c>
      <c r="G14" s="34" t="s">
        <v>33</v>
      </c>
      <c r="H14" s="34">
        <v>2.0</v>
      </c>
      <c r="J14" s="35" t="s">
        <v>33</v>
      </c>
      <c r="K14" s="35">
        <v>2.0</v>
      </c>
      <c r="M14" s="36" t="s">
        <v>33</v>
      </c>
      <c r="N14" s="36">
        <v>2.0</v>
      </c>
      <c r="P14" s="37" t="s">
        <v>33</v>
      </c>
      <c r="Q14" s="37">
        <v>2.0</v>
      </c>
      <c r="S14" s="38" t="s">
        <v>33</v>
      </c>
      <c r="T14" s="38">
        <v>2.0</v>
      </c>
      <c r="V14" s="39" t="s">
        <v>33</v>
      </c>
      <c r="W14" s="39">
        <v>2.0</v>
      </c>
    </row>
    <row r="15">
      <c r="A15" s="32" t="s">
        <v>101</v>
      </c>
      <c r="C15" s="4" t="s">
        <v>61</v>
      </c>
      <c r="D15" s="33" t="s">
        <v>57</v>
      </c>
      <c r="E15" s="33">
        <v>0.0</v>
      </c>
      <c r="G15" s="34" t="s">
        <v>57</v>
      </c>
      <c r="H15" s="34">
        <v>0.0</v>
      </c>
      <c r="J15" s="35" t="s">
        <v>57</v>
      </c>
      <c r="K15" s="35">
        <v>0.0</v>
      </c>
      <c r="M15" s="36" t="s">
        <v>47</v>
      </c>
      <c r="N15" s="36">
        <v>0.0</v>
      </c>
      <c r="P15" s="37" t="s">
        <v>34</v>
      </c>
      <c r="Q15" s="37">
        <v>0.0</v>
      </c>
      <c r="S15" s="38" t="s">
        <v>57</v>
      </c>
      <c r="T15" s="38">
        <v>0.0</v>
      </c>
      <c r="V15" s="39" t="s">
        <v>34</v>
      </c>
      <c r="W15" s="39">
        <v>0.0</v>
      </c>
    </row>
    <row r="16">
      <c r="A16" s="32" t="s">
        <v>102</v>
      </c>
      <c r="D16" s="33" t="s">
        <v>35</v>
      </c>
      <c r="E16" s="8"/>
      <c r="G16" s="34" t="s">
        <v>50</v>
      </c>
      <c r="H16" s="11"/>
      <c r="J16" s="35" t="s">
        <v>35</v>
      </c>
      <c r="K16" s="13"/>
      <c r="M16" s="36" t="s">
        <v>48</v>
      </c>
      <c r="N16" s="15"/>
      <c r="P16" s="37" t="s">
        <v>79</v>
      </c>
      <c r="Q16" s="17"/>
      <c r="S16" s="38" t="s">
        <v>35</v>
      </c>
      <c r="T16" s="19"/>
      <c r="V16" s="39" t="s">
        <v>35</v>
      </c>
      <c r="W16" s="21"/>
    </row>
    <row r="17">
      <c r="A17" s="32" t="s">
        <v>103</v>
      </c>
      <c r="C17" s="4" t="s">
        <v>76</v>
      </c>
      <c r="D17" s="33" t="s">
        <v>58</v>
      </c>
      <c r="E17" s="33">
        <v>0.0</v>
      </c>
      <c r="G17" s="34" t="s">
        <v>36</v>
      </c>
      <c r="H17" s="34">
        <v>5.0</v>
      </c>
      <c r="J17" s="35" t="s">
        <v>58</v>
      </c>
      <c r="K17" s="35">
        <v>0.0</v>
      </c>
      <c r="M17" s="36" t="s">
        <v>49</v>
      </c>
      <c r="N17" s="36">
        <v>0.0</v>
      </c>
      <c r="P17" s="37" t="s">
        <v>35</v>
      </c>
      <c r="Q17" s="37">
        <v>0.0</v>
      </c>
      <c r="S17" s="38" t="s">
        <v>35</v>
      </c>
      <c r="T17" s="38">
        <v>0.0</v>
      </c>
      <c r="V17" s="39" t="s">
        <v>61</v>
      </c>
      <c r="W17" s="39">
        <v>0.0</v>
      </c>
    </row>
    <row r="18">
      <c r="A18" s="32" t="s">
        <v>104</v>
      </c>
      <c r="C18" s="4" t="s">
        <v>36</v>
      </c>
      <c r="D18" s="33" t="s">
        <v>76</v>
      </c>
      <c r="E18" s="33">
        <v>5.0</v>
      </c>
      <c r="G18" s="34" t="s">
        <v>76</v>
      </c>
      <c r="H18" s="34">
        <v>5.0</v>
      </c>
      <c r="J18" s="35" t="s">
        <v>35</v>
      </c>
      <c r="K18" s="35">
        <v>0.0</v>
      </c>
      <c r="M18" s="36" t="s">
        <v>50</v>
      </c>
      <c r="N18" s="36">
        <v>0.0</v>
      </c>
      <c r="P18" s="37" t="s">
        <v>36</v>
      </c>
      <c r="Q18" s="37">
        <v>5.0</v>
      </c>
      <c r="S18" s="38" t="s">
        <v>36</v>
      </c>
      <c r="T18" s="38">
        <v>5.0</v>
      </c>
      <c r="V18" s="39" t="s">
        <v>36</v>
      </c>
      <c r="W18" s="39">
        <v>5.0</v>
      </c>
    </row>
    <row r="19">
      <c r="A19" s="41" t="s">
        <v>105</v>
      </c>
      <c r="B19" s="42"/>
      <c r="C19" s="43" t="s">
        <v>76</v>
      </c>
      <c r="D19" s="44" t="s">
        <v>58</v>
      </c>
      <c r="E19" s="44">
        <v>0.0</v>
      </c>
      <c r="F19" s="42"/>
      <c r="G19" s="45" t="s">
        <v>58</v>
      </c>
      <c r="H19" s="45">
        <v>0.0</v>
      </c>
      <c r="I19" s="42"/>
      <c r="J19" s="46" t="s">
        <v>58</v>
      </c>
      <c r="K19" s="46">
        <v>0.0</v>
      </c>
      <c r="L19" s="42"/>
      <c r="M19" s="47" t="s">
        <v>35</v>
      </c>
      <c r="N19" s="47">
        <v>0.0</v>
      </c>
      <c r="O19" s="42"/>
      <c r="P19" s="48" t="s">
        <v>35</v>
      </c>
      <c r="Q19" s="48">
        <v>0.0</v>
      </c>
      <c r="R19" s="42"/>
      <c r="S19" s="49" t="s">
        <v>58</v>
      </c>
      <c r="T19" s="49">
        <v>0.0</v>
      </c>
      <c r="U19" s="42"/>
      <c r="V19" s="50" t="s">
        <v>35</v>
      </c>
      <c r="W19" s="50">
        <v>0.0</v>
      </c>
    </row>
    <row r="20">
      <c r="A20" s="32"/>
      <c r="D20" s="8"/>
      <c r="E20" s="51">
        <f>SUM(E3:E19)</f>
        <v>30</v>
      </c>
      <c r="G20" s="11"/>
      <c r="H20" s="52">
        <f>SUM(H3:H19)</f>
        <v>41</v>
      </c>
      <c r="J20" s="13"/>
      <c r="K20" s="53">
        <f>SUM(K3:K19)</f>
        <v>20</v>
      </c>
      <c r="M20" s="15"/>
      <c r="N20" s="54">
        <f>SUM(N3:N19)</f>
        <v>18</v>
      </c>
      <c r="P20" s="17"/>
      <c r="Q20" s="55">
        <f>SUM(Q3:Q19)</f>
        <v>28</v>
      </c>
      <c r="S20" s="19"/>
      <c r="T20" s="56">
        <f>SUM(T3:T19)</f>
        <v>30</v>
      </c>
      <c r="V20" s="21"/>
      <c r="W20" s="57">
        <f>SUM(W3:W19)</f>
        <v>27</v>
      </c>
    </row>
    <row r="21">
      <c r="A21" s="41" t="s">
        <v>106</v>
      </c>
      <c r="B21" s="42"/>
      <c r="C21" s="42"/>
      <c r="D21" s="58"/>
      <c r="E21" s="59">
        <f>Points!O1</f>
        <v>33</v>
      </c>
      <c r="F21" s="42"/>
      <c r="G21" s="60"/>
      <c r="H21" s="61">
        <f>Points!S1</f>
        <v>45</v>
      </c>
      <c r="I21" s="42"/>
      <c r="J21" s="62"/>
      <c r="K21" s="63">
        <f>Points!W1</f>
        <v>42.5</v>
      </c>
      <c r="L21" s="42"/>
      <c r="M21" s="64"/>
      <c r="N21" s="65">
        <f>Points!AA1</f>
        <v>41</v>
      </c>
      <c r="O21" s="42"/>
      <c r="P21" s="66"/>
      <c r="Q21" s="67">
        <f>Points!AE1</f>
        <v>38</v>
      </c>
      <c r="R21" s="42"/>
      <c r="S21" s="68"/>
      <c r="T21" s="69">
        <f>Points!AI1</f>
        <v>61.5</v>
      </c>
      <c r="U21" s="42"/>
      <c r="V21" s="70"/>
      <c r="W21" s="71">
        <f>Points!AM1</f>
        <v>44.5</v>
      </c>
    </row>
    <row r="22">
      <c r="A22" s="72" t="s">
        <v>107</v>
      </c>
      <c r="B22" s="73"/>
      <c r="C22" s="73"/>
      <c r="D22" s="74"/>
      <c r="E22" s="74">
        <f>SUM(E20:E21)</f>
        <v>63</v>
      </c>
      <c r="F22" s="74"/>
      <c r="G22" s="75"/>
      <c r="H22" s="74">
        <f>SUM(H20:H21)</f>
        <v>86</v>
      </c>
      <c r="I22" s="74"/>
      <c r="J22" s="74"/>
      <c r="K22" s="74">
        <f>SUM(K20:K21)</f>
        <v>62.5</v>
      </c>
      <c r="L22" s="74"/>
      <c r="M22" s="74"/>
      <c r="N22" s="74">
        <f>SUM(N20:N21)</f>
        <v>59</v>
      </c>
      <c r="O22" s="74"/>
      <c r="P22" s="74"/>
      <c r="Q22" s="74">
        <f>SUM(Q20:Q21)</f>
        <v>66</v>
      </c>
      <c r="R22" s="74"/>
      <c r="S22" s="74"/>
      <c r="T22" s="74">
        <f>SUM(T20:T21)</f>
        <v>91.5</v>
      </c>
      <c r="U22" s="74"/>
      <c r="V22" s="74"/>
      <c r="W22" s="74">
        <f>SUM(W20:W21)</f>
        <v>71.5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2.0" ySplit="2.0" topLeftCell="M3" activePane="bottomRight" state="frozen"/>
      <selection activeCell="M1" sqref="M1" pane="topRight"/>
      <selection activeCell="A3" sqref="A3" pane="bottomLeft"/>
      <selection activeCell="M3" sqref="M3" pane="bottomRight"/>
    </sheetView>
  </sheetViews>
  <sheetFormatPr customHeight="1" defaultColWidth="12.63" defaultRowHeight="15.75"/>
  <cols>
    <col customWidth="1" min="1" max="1" width="6.63"/>
    <col customWidth="1" min="2" max="2" width="6.13"/>
    <col customWidth="1" min="3" max="3" width="5.88"/>
    <col customWidth="1" min="4" max="4" width="6.25"/>
    <col customWidth="1" min="5" max="5" width="5.25"/>
    <col customWidth="1" min="6" max="6" width="1.38"/>
    <col customWidth="1" min="8" max="9" width="3.88"/>
    <col customWidth="1" min="11" max="11" width="3.88"/>
    <col customWidth="1" min="12" max="12" width="4.0"/>
    <col customWidth="1" min="13" max="15" width="5.13"/>
    <col customWidth="1" min="16" max="16" width="1.38"/>
    <col customWidth="1" min="17" max="19" width="5.13"/>
    <col customWidth="1" min="20" max="20" width="1.38"/>
    <col customWidth="1" min="21" max="23" width="5.13"/>
    <col customWidth="1" min="24" max="24" width="1.38"/>
    <col customWidth="1" min="25" max="27" width="5.13"/>
    <col customWidth="1" min="28" max="28" width="1.38"/>
    <col customWidth="1" min="29" max="31" width="5.13"/>
    <col customWidth="1" min="32" max="32" width="1.38"/>
    <col customWidth="1" min="33" max="35" width="5.13"/>
    <col customWidth="1" min="36" max="36" width="1.38"/>
    <col customWidth="1" min="37" max="39" width="5.13"/>
    <col customWidth="1" min="40" max="40" width="1.38"/>
  </cols>
  <sheetData>
    <row r="1">
      <c r="A1" s="76" t="s">
        <v>108</v>
      </c>
      <c r="K1" s="76"/>
      <c r="L1" s="76"/>
      <c r="M1" s="77" t="s">
        <v>70</v>
      </c>
      <c r="O1" s="78">
        <f>O19+O36+O53+O62+O67+O70+O73</f>
        <v>33</v>
      </c>
      <c r="P1" s="79"/>
      <c r="Q1" s="80" t="s">
        <v>80</v>
      </c>
      <c r="S1" s="78">
        <f>S19+S36+S53+S62+S67+S70+S73</f>
        <v>45</v>
      </c>
      <c r="T1" s="79"/>
      <c r="U1" s="81" t="s">
        <v>62</v>
      </c>
      <c r="W1" s="78">
        <f>W19+W36+W53+W62+W67+W70+W73</f>
        <v>42.5</v>
      </c>
      <c r="X1" s="79"/>
      <c r="Y1" s="82" t="s">
        <v>39</v>
      </c>
      <c r="AA1" s="78">
        <f>AA19+AA36+AA53+AA62+AA67+AA70+AA73</f>
        <v>41</v>
      </c>
      <c r="AB1" s="79"/>
      <c r="AC1" s="83" t="s">
        <v>77</v>
      </c>
      <c r="AE1" s="78">
        <f>AE19+AE36+AE53+AE62+AE67+AE70+AE73</f>
        <v>38</v>
      </c>
      <c r="AF1" s="79"/>
      <c r="AG1" s="84" t="s">
        <v>51</v>
      </c>
      <c r="AI1" s="78">
        <f>AI19+AI36+AI53+AI62+AI67+AI70+AI73</f>
        <v>61.5</v>
      </c>
      <c r="AJ1" s="79"/>
      <c r="AK1" s="85" t="s">
        <v>21</v>
      </c>
      <c r="AM1" s="78">
        <f>AM19+AM36+AM53+AM62+AM67+AM70+AM73</f>
        <v>44.5</v>
      </c>
      <c r="AN1" s="79"/>
    </row>
    <row r="2">
      <c r="A2" s="23" t="s">
        <v>109</v>
      </c>
      <c r="B2" s="23" t="s">
        <v>110</v>
      </c>
      <c r="C2" s="23" t="s">
        <v>111</v>
      </c>
      <c r="D2" s="86" t="s">
        <v>112</v>
      </c>
      <c r="E2" s="23" t="s">
        <v>113</v>
      </c>
      <c r="F2" s="25"/>
      <c r="G2" s="25" t="s">
        <v>114</v>
      </c>
      <c r="H2" s="23" t="s">
        <v>115</v>
      </c>
      <c r="I2" s="23" t="s">
        <v>116</v>
      </c>
      <c r="J2" s="25" t="s">
        <v>117</v>
      </c>
      <c r="K2" s="23" t="s">
        <v>118</v>
      </c>
      <c r="L2" s="87"/>
      <c r="M2" s="88" t="s">
        <v>119</v>
      </c>
      <c r="N2" s="88" t="s">
        <v>120</v>
      </c>
      <c r="O2" s="88" t="s">
        <v>88</v>
      </c>
      <c r="P2" s="89"/>
      <c r="Q2" s="90" t="s">
        <v>119</v>
      </c>
      <c r="R2" s="90" t="s">
        <v>120</v>
      </c>
      <c r="S2" s="91" t="s">
        <v>88</v>
      </c>
      <c r="T2" s="89"/>
      <c r="U2" s="92" t="s">
        <v>119</v>
      </c>
      <c r="V2" s="92" t="s">
        <v>120</v>
      </c>
      <c r="W2" s="93" t="s">
        <v>88</v>
      </c>
      <c r="X2" s="89"/>
      <c r="Y2" s="94" t="s">
        <v>119</v>
      </c>
      <c r="Z2" s="94" t="s">
        <v>120</v>
      </c>
      <c r="AA2" s="95" t="s">
        <v>88</v>
      </c>
      <c r="AB2" s="89"/>
      <c r="AC2" s="96" t="s">
        <v>119</v>
      </c>
      <c r="AD2" s="96" t="s">
        <v>120</v>
      </c>
      <c r="AE2" s="97" t="s">
        <v>88</v>
      </c>
      <c r="AF2" s="89"/>
      <c r="AG2" s="98" t="s">
        <v>119</v>
      </c>
      <c r="AH2" s="98" t="s">
        <v>120</v>
      </c>
      <c r="AI2" s="99" t="s">
        <v>88</v>
      </c>
      <c r="AJ2" s="89"/>
      <c r="AK2" s="100" t="s">
        <v>119</v>
      </c>
      <c r="AL2" s="100" t="s">
        <v>120</v>
      </c>
      <c r="AM2" s="101" t="s">
        <v>88</v>
      </c>
      <c r="AN2" s="89"/>
    </row>
    <row r="3">
      <c r="A3" s="102">
        <v>1.0</v>
      </c>
      <c r="B3" s="103">
        <v>1.0</v>
      </c>
      <c r="C3" s="103" t="s">
        <v>121</v>
      </c>
      <c r="D3" s="104">
        <v>44885.0</v>
      </c>
      <c r="E3" s="105">
        <v>0.7916666666666666</v>
      </c>
      <c r="F3" s="106"/>
      <c r="G3" s="106" t="s">
        <v>122</v>
      </c>
      <c r="H3" s="107">
        <v>0.0</v>
      </c>
      <c r="I3" s="107">
        <v>2.0</v>
      </c>
      <c r="J3" s="106" t="s">
        <v>123</v>
      </c>
      <c r="K3" s="76"/>
      <c r="L3" s="76"/>
      <c r="M3" s="33">
        <v>1.0</v>
      </c>
      <c r="N3" s="33">
        <v>3.0</v>
      </c>
      <c r="O3" s="8">
        <v>2.0</v>
      </c>
      <c r="P3" s="79">
        <v>2.0</v>
      </c>
      <c r="Q3" s="34">
        <v>1.0</v>
      </c>
      <c r="R3" s="34">
        <v>0.0</v>
      </c>
      <c r="S3" s="11">
        <v>0.0</v>
      </c>
      <c r="T3" s="79">
        <v>0.0</v>
      </c>
      <c r="U3" s="35">
        <v>0.0</v>
      </c>
      <c r="V3" s="35">
        <v>1.0</v>
      </c>
      <c r="W3" s="13">
        <v>1.0</v>
      </c>
      <c r="X3" s="79">
        <v>1.0</v>
      </c>
      <c r="Y3" s="36">
        <v>2.0</v>
      </c>
      <c r="Z3" s="36">
        <v>0.0</v>
      </c>
      <c r="AA3" s="15">
        <v>0.0</v>
      </c>
      <c r="AB3" s="79">
        <v>0.0</v>
      </c>
      <c r="AC3" s="37">
        <v>0.0</v>
      </c>
      <c r="AD3" s="37">
        <v>1.0</v>
      </c>
      <c r="AE3" s="17">
        <v>1.0</v>
      </c>
      <c r="AF3" s="79">
        <v>1.0</v>
      </c>
      <c r="AG3" s="38">
        <v>1.0</v>
      </c>
      <c r="AH3" s="38">
        <v>0.0</v>
      </c>
      <c r="AI3" s="19">
        <v>0.0</v>
      </c>
      <c r="AJ3" s="79">
        <v>0.0</v>
      </c>
      <c r="AK3" s="39">
        <v>1.0</v>
      </c>
      <c r="AL3" s="39">
        <v>1.0</v>
      </c>
      <c r="AM3" s="21">
        <v>0.0</v>
      </c>
      <c r="AN3" s="79">
        <v>0.0</v>
      </c>
    </row>
    <row r="4">
      <c r="A4" s="102">
        <v>2.0</v>
      </c>
      <c r="B4" s="103">
        <v>1.0</v>
      </c>
      <c r="C4" s="103" t="s">
        <v>124</v>
      </c>
      <c r="D4" s="104">
        <v>44886.0</v>
      </c>
      <c r="E4" s="105">
        <v>0.7916666666666666</v>
      </c>
      <c r="F4" s="106"/>
      <c r="G4" s="106" t="s">
        <v>125</v>
      </c>
      <c r="H4" s="107">
        <v>0.0</v>
      </c>
      <c r="I4" s="107">
        <v>2.0</v>
      </c>
      <c r="J4" s="106" t="s">
        <v>79</v>
      </c>
      <c r="K4" s="76"/>
      <c r="L4" s="76"/>
      <c r="M4" s="33">
        <v>1.0</v>
      </c>
      <c r="N4" s="33">
        <v>1.0</v>
      </c>
      <c r="O4" s="8">
        <v>0.0</v>
      </c>
      <c r="P4" s="79">
        <v>2.0</v>
      </c>
      <c r="Q4" s="34">
        <v>0.0</v>
      </c>
      <c r="R4" s="34">
        <v>3.0</v>
      </c>
      <c r="S4" s="11">
        <v>1.0</v>
      </c>
      <c r="T4" s="79">
        <v>1.0</v>
      </c>
      <c r="U4" s="35">
        <v>1.0</v>
      </c>
      <c r="V4" s="35">
        <v>1.0</v>
      </c>
      <c r="W4" s="13">
        <v>0.0</v>
      </c>
      <c r="X4" s="79">
        <v>1.0</v>
      </c>
      <c r="Y4" s="36">
        <v>2.0</v>
      </c>
      <c r="Z4" s="36">
        <v>3.0</v>
      </c>
      <c r="AA4" s="15">
        <v>1.0</v>
      </c>
      <c r="AB4" s="79">
        <v>1.0</v>
      </c>
      <c r="AC4" s="37">
        <v>0.0</v>
      </c>
      <c r="AD4" s="37">
        <v>2.0</v>
      </c>
      <c r="AE4" s="17">
        <v>3.0</v>
      </c>
      <c r="AF4" s="79">
        <v>4.0</v>
      </c>
      <c r="AG4" s="38">
        <v>1.0</v>
      </c>
      <c r="AH4" s="38">
        <v>2.0</v>
      </c>
      <c r="AI4" s="19">
        <v>1.0</v>
      </c>
      <c r="AJ4" s="79">
        <v>1.0</v>
      </c>
      <c r="AK4" s="39">
        <v>1.0</v>
      </c>
      <c r="AL4" s="39">
        <v>3.0</v>
      </c>
      <c r="AM4" s="21">
        <v>2.0</v>
      </c>
      <c r="AN4" s="79">
        <v>2.0</v>
      </c>
    </row>
    <row r="5">
      <c r="A5" s="102">
        <v>3.0</v>
      </c>
      <c r="B5" s="103">
        <v>1.0</v>
      </c>
      <c r="C5" s="103" t="s">
        <v>124</v>
      </c>
      <c r="D5" s="104">
        <v>44886.0</v>
      </c>
      <c r="E5" s="105">
        <v>0.6666666666666666</v>
      </c>
      <c r="F5" s="106"/>
      <c r="G5" s="106" t="s">
        <v>61</v>
      </c>
      <c r="H5" s="107">
        <v>6.0</v>
      </c>
      <c r="I5" s="107">
        <v>2.0</v>
      </c>
      <c r="J5" s="106" t="s">
        <v>126</v>
      </c>
      <c r="K5" s="76"/>
      <c r="L5" s="76"/>
      <c r="M5" s="33">
        <v>1.0</v>
      </c>
      <c r="N5" s="33">
        <v>0.0</v>
      </c>
      <c r="O5" s="8">
        <v>1.0</v>
      </c>
      <c r="P5" s="79">
        <v>3.0</v>
      </c>
      <c r="Q5" s="34">
        <v>3.0</v>
      </c>
      <c r="R5" s="34">
        <v>0.0</v>
      </c>
      <c r="S5" s="11">
        <v>1.0</v>
      </c>
      <c r="T5" s="79">
        <v>2.0</v>
      </c>
      <c r="U5" s="35">
        <v>3.0</v>
      </c>
      <c r="V5" s="35">
        <v>1.0</v>
      </c>
      <c r="W5" s="13">
        <v>1.0</v>
      </c>
      <c r="X5" s="79">
        <v>2.0</v>
      </c>
      <c r="Y5" s="36">
        <v>2.0</v>
      </c>
      <c r="Z5" s="36">
        <v>2.0</v>
      </c>
      <c r="AA5" s="15">
        <v>0.0</v>
      </c>
      <c r="AB5" s="79">
        <v>1.0</v>
      </c>
      <c r="AC5" s="37">
        <v>1.0</v>
      </c>
      <c r="AD5" s="37">
        <v>0.0</v>
      </c>
      <c r="AE5" s="17">
        <v>1.0</v>
      </c>
      <c r="AF5" s="79">
        <v>5.0</v>
      </c>
      <c r="AG5" s="38">
        <v>3.0</v>
      </c>
      <c r="AH5" s="38">
        <v>0.0</v>
      </c>
      <c r="AI5" s="19">
        <v>1.0</v>
      </c>
      <c r="AJ5" s="79">
        <v>2.0</v>
      </c>
      <c r="AK5" s="39">
        <v>4.0</v>
      </c>
      <c r="AL5" s="39">
        <v>0.0</v>
      </c>
      <c r="AM5" s="21">
        <v>2.0</v>
      </c>
      <c r="AN5" s="79">
        <v>4.0</v>
      </c>
    </row>
    <row r="6">
      <c r="A6" s="102">
        <v>4.0</v>
      </c>
      <c r="B6" s="103">
        <v>1.0</v>
      </c>
      <c r="C6" s="103" t="s">
        <v>124</v>
      </c>
      <c r="D6" s="104">
        <v>44886.0</v>
      </c>
      <c r="E6" s="105">
        <v>0.9166666666666666</v>
      </c>
      <c r="F6" s="106"/>
      <c r="G6" s="106" t="s">
        <v>127</v>
      </c>
      <c r="H6" s="107">
        <v>1.0</v>
      </c>
      <c r="I6" s="107">
        <v>1.0</v>
      </c>
      <c r="J6" s="106" t="s">
        <v>128</v>
      </c>
      <c r="K6" s="76"/>
      <c r="L6" s="76"/>
      <c r="M6" s="33">
        <v>1.0</v>
      </c>
      <c r="N6" s="33">
        <v>2.0</v>
      </c>
      <c r="O6" s="8">
        <v>0.0</v>
      </c>
      <c r="P6" s="79">
        <v>3.0</v>
      </c>
      <c r="Q6" s="34">
        <v>0.0</v>
      </c>
      <c r="R6" s="34">
        <v>1.0</v>
      </c>
      <c r="S6" s="11">
        <v>0.0</v>
      </c>
      <c r="T6" s="79">
        <v>2.0</v>
      </c>
      <c r="U6" s="35">
        <v>2.0</v>
      </c>
      <c r="V6" s="35">
        <v>1.0</v>
      </c>
      <c r="W6" s="13">
        <v>0.0</v>
      </c>
      <c r="X6" s="79">
        <v>2.0</v>
      </c>
      <c r="Y6" s="36">
        <v>3.0</v>
      </c>
      <c r="Z6" s="36">
        <v>2.0</v>
      </c>
      <c r="AA6" s="15">
        <v>0.0</v>
      </c>
      <c r="AB6" s="79">
        <v>1.0</v>
      </c>
      <c r="AC6" s="37">
        <v>0.0</v>
      </c>
      <c r="AD6" s="37">
        <v>1.0</v>
      </c>
      <c r="AE6" s="17">
        <v>0.0</v>
      </c>
      <c r="AF6" s="79">
        <v>5.0</v>
      </c>
      <c r="AG6" s="38">
        <v>1.0</v>
      </c>
      <c r="AH6" s="38">
        <v>2.0</v>
      </c>
      <c r="AI6" s="19">
        <v>0.0</v>
      </c>
      <c r="AJ6" s="79">
        <v>2.0</v>
      </c>
      <c r="AK6" s="39">
        <v>2.0</v>
      </c>
      <c r="AL6" s="39">
        <v>1.0</v>
      </c>
      <c r="AM6" s="21">
        <v>0.0</v>
      </c>
      <c r="AN6" s="79">
        <v>4.0</v>
      </c>
    </row>
    <row r="7">
      <c r="A7" s="102">
        <v>5.0</v>
      </c>
      <c r="B7" s="103">
        <v>1.0</v>
      </c>
      <c r="C7" s="103" t="s">
        <v>129</v>
      </c>
      <c r="D7" s="104">
        <v>44887.0</v>
      </c>
      <c r="E7" s="105">
        <v>0.5416666666666666</v>
      </c>
      <c r="F7" s="106"/>
      <c r="G7" s="106" t="s">
        <v>76</v>
      </c>
      <c r="H7" s="107">
        <v>1.0</v>
      </c>
      <c r="I7" s="107">
        <v>2.0</v>
      </c>
      <c r="J7" s="106" t="s">
        <v>130</v>
      </c>
      <c r="K7" s="76"/>
      <c r="L7" s="76"/>
      <c r="M7" s="33">
        <v>5.0</v>
      </c>
      <c r="N7" s="33">
        <v>0.0</v>
      </c>
      <c r="O7" s="8">
        <v>0.0</v>
      </c>
      <c r="P7" s="79">
        <v>3.0</v>
      </c>
      <c r="Q7" s="34">
        <v>4.0</v>
      </c>
      <c r="R7" s="34">
        <v>0.0</v>
      </c>
      <c r="S7" s="11">
        <v>0.0</v>
      </c>
      <c r="T7" s="79">
        <v>2.0</v>
      </c>
      <c r="U7" s="35">
        <v>5.0</v>
      </c>
      <c r="V7" s="35">
        <v>0.0</v>
      </c>
      <c r="W7" s="13">
        <v>0.0</v>
      </c>
      <c r="X7" s="79">
        <v>2.0</v>
      </c>
      <c r="Y7" s="36">
        <v>3.0</v>
      </c>
      <c r="Z7" s="36">
        <v>0.0</v>
      </c>
      <c r="AA7" s="15">
        <v>0.0</v>
      </c>
      <c r="AB7" s="79">
        <v>1.0</v>
      </c>
      <c r="AC7" s="37">
        <v>5.0</v>
      </c>
      <c r="AD7" s="37">
        <v>0.0</v>
      </c>
      <c r="AE7" s="17">
        <v>0.0</v>
      </c>
      <c r="AF7" s="79">
        <v>5.0</v>
      </c>
      <c r="AG7" s="38">
        <v>4.0</v>
      </c>
      <c r="AH7" s="38">
        <v>0.0</v>
      </c>
      <c r="AI7" s="19">
        <v>0.0</v>
      </c>
      <c r="AJ7" s="79">
        <v>2.0</v>
      </c>
      <c r="AK7" s="39">
        <v>2.0</v>
      </c>
      <c r="AL7" s="39">
        <v>0.0</v>
      </c>
      <c r="AM7" s="21">
        <v>0.0</v>
      </c>
      <c r="AN7" s="79">
        <v>4.0</v>
      </c>
    </row>
    <row r="8">
      <c r="A8" s="102">
        <v>6.0</v>
      </c>
      <c r="B8" s="103">
        <v>1.0</v>
      </c>
      <c r="C8" s="103" t="s">
        <v>129</v>
      </c>
      <c r="D8" s="104">
        <v>44887.0</v>
      </c>
      <c r="E8" s="105">
        <v>0.6666666666666666</v>
      </c>
      <c r="F8" s="106"/>
      <c r="G8" s="106" t="s">
        <v>57</v>
      </c>
      <c r="H8" s="107">
        <v>0.0</v>
      </c>
      <c r="I8" s="107">
        <v>0.0</v>
      </c>
      <c r="J8" s="106" t="s">
        <v>131</v>
      </c>
      <c r="K8" s="76"/>
      <c r="L8" s="76"/>
      <c r="M8" s="33">
        <v>2.0</v>
      </c>
      <c r="N8" s="33">
        <v>0.0</v>
      </c>
      <c r="O8" s="8">
        <v>0.0</v>
      </c>
      <c r="P8" s="79">
        <v>3.0</v>
      </c>
      <c r="Q8" s="34">
        <v>2.0</v>
      </c>
      <c r="R8" s="34">
        <v>1.0</v>
      </c>
      <c r="S8" s="11">
        <v>0.0</v>
      </c>
      <c r="T8" s="79">
        <v>2.0</v>
      </c>
      <c r="U8" s="35">
        <v>1.0</v>
      </c>
      <c r="V8" s="35">
        <v>0.0</v>
      </c>
      <c r="W8" s="13">
        <v>0.0</v>
      </c>
      <c r="X8" s="79">
        <v>2.0</v>
      </c>
      <c r="Y8" s="36">
        <v>2.0</v>
      </c>
      <c r="Z8" s="36">
        <v>1.0</v>
      </c>
      <c r="AA8" s="15">
        <v>0.0</v>
      </c>
      <c r="AB8" s="79">
        <v>1.0</v>
      </c>
      <c r="AC8" s="37">
        <v>3.0</v>
      </c>
      <c r="AD8" s="37">
        <v>0.0</v>
      </c>
      <c r="AE8" s="17">
        <v>0.0</v>
      </c>
      <c r="AF8" s="79">
        <v>5.0</v>
      </c>
      <c r="AG8" s="38">
        <v>2.0</v>
      </c>
      <c r="AH8" s="38">
        <v>1.0</v>
      </c>
      <c r="AI8" s="19">
        <v>0.0</v>
      </c>
      <c r="AJ8" s="79">
        <v>2.0</v>
      </c>
      <c r="AK8" s="39">
        <v>2.0</v>
      </c>
      <c r="AL8" s="39">
        <v>0.0</v>
      </c>
      <c r="AM8" s="21">
        <v>0.0</v>
      </c>
      <c r="AN8" s="79">
        <v>4.0</v>
      </c>
    </row>
    <row r="9">
      <c r="A9" s="102">
        <v>7.0</v>
      </c>
      <c r="B9" s="103">
        <v>1.0</v>
      </c>
      <c r="C9" s="103" t="s">
        <v>129</v>
      </c>
      <c r="D9" s="104">
        <v>44887.0</v>
      </c>
      <c r="E9" s="105">
        <v>0.7916666666666666</v>
      </c>
      <c r="F9" s="106"/>
      <c r="G9" s="106" t="s">
        <v>47</v>
      </c>
      <c r="H9" s="107">
        <v>0.0</v>
      </c>
      <c r="I9" s="107">
        <v>0.0</v>
      </c>
      <c r="J9" s="106" t="s">
        <v>132</v>
      </c>
      <c r="K9" s="76"/>
      <c r="L9" s="76"/>
      <c r="M9" s="33">
        <v>1.0</v>
      </c>
      <c r="N9" s="33">
        <v>1.0</v>
      </c>
      <c r="O9" s="8">
        <v>1.5</v>
      </c>
      <c r="P9" s="79">
        <v>4.5</v>
      </c>
      <c r="Q9" s="34">
        <v>1.0</v>
      </c>
      <c r="R9" s="34">
        <v>0.0</v>
      </c>
      <c r="S9" s="11">
        <v>0.0</v>
      </c>
      <c r="T9" s="79">
        <v>2.0</v>
      </c>
      <c r="U9" s="35">
        <v>2.0</v>
      </c>
      <c r="V9" s="35">
        <v>2.0</v>
      </c>
      <c r="W9" s="13">
        <v>1.5</v>
      </c>
      <c r="X9" s="79">
        <v>3.5</v>
      </c>
      <c r="Y9" s="36">
        <v>3.0</v>
      </c>
      <c r="Z9" s="36">
        <v>1.0</v>
      </c>
      <c r="AA9" s="15">
        <v>0.0</v>
      </c>
      <c r="AB9" s="79">
        <v>1.0</v>
      </c>
      <c r="AC9" s="37">
        <v>1.0</v>
      </c>
      <c r="AD9" s="37">
        <v>2.0</v>
      </c>
      <c r="AE9" s="17">
        <v>0.0</v>
      </c>
      <c r="AF9" s="79">
        <v>5.0</v>
      </c>
      <c r="AG9" s="38">
        <v>2.0</v>
      </c>
      <c r="AH9" s="38">
        <v>2.0</v>
      </c>
      <c r="AI9" s="19">
        <v>1.5</v>
      </c>
      <c r="AJ9" s="79">
        <v>3.5</v>
      </c>
      <c r="AK9" s="39">
        <v>1.0</v>
      </c>
      <c r="AL9" s="39">
        <v>2.0</v>
      </c>
      <c r="AM9" s="21">
        <v>0.0</v>
      </c>
      <c r="AN9" s="79">
        <v>4.0</v>
      </c>
    </row>
    <row r="10">
      <c r="A10" s="102">
        <v>8.0</v>
      </c>
      <c r="B10" s="103">
        <v>1.0</v>
      </c>
      <c r="C10" s="103" t="s">
        <v>129</v>
      </c>
      <c r="D10" s="104">
        <v>44887.0</v>
      </c>
      <c r="E10" s="105">
        <v>0.9166666666666666</v>
      </c>
      <c r="F10" s="106"/>
      <c r="G10" s="106" t="s">
        <v>36</v>
      </c>
      <c r="H10" s="107">
        <v>4.0</v>
      </c>
      <c r="I10" s="107">
        <v>1.0</v>
      </c>
      <c r="J10" s="106" t="s">
        <v>133</v>
      </c>
      <c r="K10" s="76"/>
      <c r="L10" s="76"/>
      <c r="M10" s="33">
        <v>3.0</v>
      </c>
      <c r="N10" s="33">
        <v>1.0</v>
      </c>
      <c r="O10" s="8">
        <v>1.0</v>
      </c>
      <c r="P10" s="79">
        <v>5.5</v>
      </c>
      <c r="Q10" s="34">
        <v>4.0</v>
      </c>
      <c r="R10" s="34">
        <v>0.0</v>
      </c>
      <c r="S10" s="11">
        <v>1.0</v>
      </c>
      <c r="T10" s="79">
        <v>3.0</v>
      </c>
      <c r="U10" s="35">
        <v>6.0</v>
      </c>
      <c r="V10" s="35">
        <v>0.0</v>
      </c>
      <c r="W10" s="13">
        <v>1.0</v>
      </c>
      <c r="X10" s="79">
        <v>4.5</v>
      </c>
      <c r="Y10" s="36">
        <v>3.0</v>
      </c>
      <c r="Z10" s="36">
        <v>1.0</v>
      </c>
      <c r="AA10" s="15">
        <v>1.0</v>
      </c>
      <c r="AB10" s="79">
        <v>2.0</v>
      </c>
      <c r="AC10" s="37">
        <v>3.0</v>
      </c>
      <c r="AD10" s="37">
        <v>0.0</v>
      </c>
      <c r="AE10" s="17">
        <v>2.0</v>
      </c>
      <c r="AF10" s="79">
        <v>7.0</v>
      </c>
      <c r="AG10" s="38">
        <v>4.0</v>
      </c>
      <c r="AH10" s="38">
        <v>0.0</v>
      </c>
      <c r="AI10" s="19">
        <v>1.0</v>
      </c>
      <c r="AJ10" s="79">
        <v>4.5</v>
      </c>
      <c r="AK10" s="39">
        <v>3.0</v>
      </c>
      <c r="AL10" s="39">
        <v>1.0</v>
      </c>
      <c r="AM10" s="21">
        <v>1.0</v>
      </c>
      <c r="AN10" s="79">
        <v>5.0</v>
      </c>
    </row>
    <row r="11">
      <c r="A11" s="102">
        <v>9.0</v>
      </c>
      <c r="B11" s="103">
        <v>1.0</v>
      </c>
      <c r="C11" s="103" t="s">
        <v>134</v>
      </c>
      <c r="D11" s="104">
        <v>44888.0</v>
      </c>
      <c r="E11" s="105">
        <v>0.5416666666666666</v>
      </c>
      <c r="F11" s="106"/>
      <c r="G11" s="106" t="s">
        <v>135</v>
      </c>
      <c r="H11" s="107">
        <v>0.0</v>
      </c>
      <c r="I11" s="107">
        <v>0.0</v>
      </c>
      <c r="J11" s="106" t="s">
        <v>136</v>
      </c>
      <c r="K11" s="76"/>
      <c r="L11" s="76"/>
      <c r="M11" s="33">
        <v>1.0</v>
      </c>
      <c r="N11" s="33">
        <v>1.0</v>
      </c>
      <c r="O11" s="8">
        <v>1.5</v>
      </c>
      <c r="P11" s="79">
        <v>7.0</v>
      </c>
      <c r="Q11" s="34">
        <v>0.0</v>
      </c>
      <c r="R11" s="34">
        <v>2.0</v>
      </c>
      <c r="S11" s="11">
        <v>0.0</v>
      </c>
      <c r="T11" s="79">
        <v>3.0</v>
      </c>
      <c r="U11" s="35">
        <v>1.0</v>
      </c>
      <c r="V11" s="35">
        <v>3.0</v>
      </c>
      <c r="W11" s="13">
        <v>0.0</v>
      </c>
      <c r="X11" s="79">
        <v>4.5</v>
      </c>
      <c r="Y11" s="36">
        <v>2.0</v>
      </c>
      <c r="Z11" s="36">
        <v>1.0</v>
      </c>
      <c r="AA11" s="15">
        <v>0.0</v>
      </c>
      <c r="AB11" s="79">
        <v>2.0</v>
      </c>
      <c r="AC11" s="37">
        <v>1.0</v>
      </c>
      <c r="AD11" s="37">
        <v>2.0</v>
      </c>
      <c r="AE11" s="17">
        <v>0.0</v>
      </c>
      <c r="AF11" s="79">
        <v>7.0</v>
      </c>
      <c r="AG11" s="38">
        <v>1.0</v>
      </c>
      <c r="AH11" s="38">
        <v>2.0</v>
      </c>
      <c r="AI11" s="19">
        <v>0.0</v>
      </c>
      <c r="AJ11" s="79">
        <v>4.5</v>
      </c>
      <c r="AK11" s="39">
        <v>0.0</v>
      </c>
      <c r="AL11" s="39">
        <v>3.0</v>
      </c>
      <c r="AM11" s="21">
        <v>0.0</v>
      </c>
      <c r="AN11" s="79">
        <v>5.0</v>
      </c>
    </row>
    <row r="12">
      <c r="A12" s="102">
        <v>10.0</v>
      </c>
      <c r="B12" s="103">
        <v>1.0</v>
      </c>
      <c r="C12" s="103" t="s">
        <v>134</v>
      </c>
      <c r="D12" s="104">
        <v>44888.0</v>
      </c>
      <c r="E12" s="105">
        <v>0.6666666666666666</v>
      </c>
      <c r="F12" s="106"/>
      <c r="G12" s="106" t="s">
        <v>37</v>
      </c>
      <c r="H12" s="107">
        <v>1.0</v>
      </c>
      <c r="I12" s="107">
        <v>2.0</v>
      </c>
      <c r="J12" s="106" t="s">
        <v>34</v>
      </c>
      <c r="K12" s="76"/>
      <c r="L12" s="76"/>
      <c r="M12" s="33">
        <v>4.0</v>
      </c>
      <c r="N12" s="33">
        <v>1.0</v>
      </c>
      <c r="O12" s="8">
        <v>0.0</v>
      </c>
      <c r="P12" s="79">
        <v>7.0</v>
      </c>
      <c r="Q12" s="34">
        <v>3.0</v>
      </c>
      <c r="R12" s="34">
        <v>0.0</v>
      </c>
      <c r="S12" s="11">
        <v>0.0</v>
      </c>
      <c r="T12" s="79">
        <v>3.0</v>
      </c>
      <c r="U12" s="35">
        <v>4.0</v>
      </c>
      <c r="V12" s="35">
        <v>1.0</v>
      </c>
      <c r="W12" s="13">
        <v>0.0</v>
      </c>
      <c r="X12" s="79">
        <v>4.5</v>
      </c>
      <c r="Y12" s="36">
        <v>3.0</v>
      </c>
      <c r="Z12" s="36">
        <v>0.0</v>
      </c>
      <c r="AA12" s="15">
        <v>0.0</v>
      </c>
      <c r="AB12" s="79">
        <v>2.0</v>
      </c>
      <c r="AC12" s="37">
        <v>3.0</v>
      </c>
      <c r="AD12" s="37">
        <v>2.0</v>
      </c>
      <c r="AE12" s="17">
        <v>0.0</v>
      </c>
      <c r="AF12" s="79">
        <v>7.0</v>
      </c>
      <c r="AG12" s="38">
        <v>2.0</v>
      </c>
      <c r="AH12" s="38">
        <v>0.0</v>
      </c>
      <c r="AI12" s="19">
        <v>0.0</v>
      </c>
      <c r="AJ12" s="79">
        <v>4.5</v>
      </c>
      <c r="AK12" s="39">
        <v>3.0</v>
      </c>
      <c r="AL12" s="39">
        <v>1.0</v>
      </c>
      <c r="AM12" s="21">
        <v>0.0</v>
      </c>
      <c r="AN12" s="79">
        <v>5.0</v>
      </c>
    </row>
    <row r="13">
      <c r="A13" s="102">
        <v>11.0</v>
      </c>
      <c r="B13" s="103">
        <v>1.0</v>
      </c>
      <c r="C13" s="103" t="s">
        <v>134</v>
      </c>
      <c r="D13" s="104">
        <v>44888.0</v>
      </c>
      <c r="E13" s="105">
        <v>0.7916666666666666</v>
      </c>
      <c r="F13" s="106"/>
      <c r="G13" s="106" t="s">
        <v>50</v>
      </c>
      <c r="H13" s="107">
        <v>7.0</v>
      </c>
      <c r="I13" s="107">
        <v>0.0</v>
      </c>
      <c r="J13" s="106" t="s">
        <v>137</v>
      </c>
      <c r="K13" s="76"/>
      <c r="L13" s="76"/>
      <c r="M13" s="33">
        <v>3.0</v>
      </c>
      <c r="N13" s="33">
        <v>0.0</v>
      </c>
      <c r="O13" s="8">
        <v>1.0</v>
      </c>
      <c r="P13" s="79">
        <v>8.0</v>
      </c>
      <c r="Q13" s="34">
        <v>2.0</v>
      </c>
      <c r="R13" s="34">
        <v>0.0</v>
      </c>
      <c r="S13" s="11">
        <v>1.0</v>
      </c>
      <c r="T13" s="79">
        <v>4.0</v>
      </c>
      <c r="U13" s="35">
        <v>3.0</v>
      </c>
      <c r="V13" s="35">
        <v>0.0</v>
      </c>
      <c r="W13" s="13">
        <v>1.0</v>
      </c>
      <c r="X13" s="79">
        <v>5.5</v>
      </c>
      <c r="Y13" s="36">
        <v>2.0</v>
      </c>
      <c r="Z13" s="36">
        <v>1.0</v>
      </c>
      <c r="AA13" s="15">
        <v>1.0</v>
      </c>
      <c r="AB13" s="79">
        <v>3.0</v>
      </c>
      <c r="AC13" s="37">
        <v>2.0</v>
      </c>
      <c r="AD13" s="37">
        <v>0.0</v>
      </c>
      <c r="AE13" s="17">
        <v>1.0</v>
      </c>
      <c r="AF13" s="79">
        <v>8.0</v>
      </c>
      <c r="AG13" s="38">
        <v>2.0</v>
      </c>
      <c r="AH13" s="38">
        <v>1.0</v>
      </c>
      <c r="AI13" s="19">
        <v>1.0</v>
      </c>
      <c r="AJ13" s="79">
        <v>5.5</v>
      </c>
      <c r="AK13" s="39">
        <v>2.0</v>
      </c>
      <c r="AL13" s="39">
        <v>0.0</v>
      </c>
      <c r="AM13" s="21">
        <v>1.0</v>
      </c>
      <c r="AN13" s="79">
        <v>6.0</v>
      </c>
    </row>
    <row r="14">
      <c r="A14" s="102">
        <v>12.0</v>
      </c>
      <c r="B14" s="103">
        <v>1.0</v>
      </c>
      <c r="C14" s="103" t="s">
        <v>134</v>
      </c>
      <c r="D14" s="104">
        <v>44888.0</v>
      </c>
      <c r="E14" s="105">
        <v>0.9166666666666666</v>
      </c>
      <c r="F14" s="106"/>
      <c r="G14" s="106" t="s">
        <v>138</v>
      </c>
      <c r="H14" s="107">
        <v>1.0</v>
      </c>
      <c r="I14" s="107">
        <v>0.0</v>
      </c>
      <c r="J14" s="106" t="s">
        <v>139</v>
      </c>
      <c r="K14" s="76"/>
      <c r="L14" s="76"/>
      <c r="M14" s="33">
        <v>2.0</v>
      </c>
      <c r="N14" s="33">
        <v>0.0</v>
      </c>
      <c r="O14" s="8">
        <v>1.0</v>
      </c>
      <c r="P14" s="79">
        <v>9.0</v>
      </c>
      <c r="Q14" s="34">
        <v>5.0</v>
      </c>
      <c r="R14" s="34">
        <v>0.0</v>
      </c>
      <c r="S14" s="11">
        <v>1.0</v>
      </c>
      <c r="T14" s="79">
        <v>5.0</v>
      </c>
      <c r="U14" s="35">
        <v>4.0</v>
      </c>
      <c r="V14" s="35">
        <v>0.0</v>
      </c>
      <c r="W14" s="13">
        <v>1.0</v>
      </c>
      <c r="X14" s="79">
        <v>6.5</v>
      </c>
      <c r="Y14" s="36">
        <v>2.0</v>
      </c>
      <c r="Z14" s="36">
        <v>0.0</v>
      </c>
      <c r="AA14" s="15">
        <v>1.0</v>
      </c>
      <c r="AB14" s="79">
        <v>4.0</v>
      </c>
      <c r="AC14" s="37">
        <v>3.0</v>
      </c>
      <c r="AD14" s="37">
        <v>1.0</v>
      </c>
      <c r="AE14" s="17">
        <v>1.0</v>
      </c>
      <c r="AF14" s="79">
        <v>9.0</v>
      </c>
      <c r="AG14" s="38">
        <v>4.0</v>
      </c>
      <c r="AH14" s="38">
        <v>0.0</v>
      </c>
      <c r="AI14" s="19">
        <v>1.0</v>
      </c>
      <c r="AJ14" s="79">
        <v>6.5</v>
      </c>
      <c r="AK14" s="39">
        <v>3.0</v>
      </c>
      <c r="AL14" s="39">
        <v>0.0</v>
      </c>
      <c r="AM14" s="21">
        <v>1.0</v>
      </c>
      <c r="AN14" s="79">
        <v>7.0</v>
      </c>
    </row>
    <row r="15">
      <c r="A15" s="102">
        <v>13.0</v>
      </c>
      <c r="B15" s="103">
        <v>1.0</v>
      </c>
      <c r="C15" s="103" t="s">
        <v>140</v>
      </c>
      <c r="D15" s="104">
        <v>44889.0</v>
      </c>
      <c r="E15" s="105">
        <v>0.5416666666666666</v>
      </c>
      <c r="F15" s="106"/>
      <c r="G15" s="106" t="s">
        <v>141</v>
      </c>
      <c r="H15" s="107">
        <v>1.0</v>
      </c>
      <c r="I15" s="107">
        <v>0.0</v>
      </c>
      <c r="J15" s="106" t="s">
        <v>142</v>
      </c>
      <c r="K15" s="76"/>
      <c r="L15" s="76"/>
      <c r="M15" s="33">
        <v>2.0</v>
      </c>
      <c r="N15" s="33">
        <v>0.0</v>
      </c>
      <c r="O15" s="8">
        <v>1.0</v>
      </c>
      <c r="P15" s="79">
        <v>10.0</v>
      </c>
      <c r="Q15" s="34">
        <v>1.0</v>
      </c>
      <c r="R15" s="34">
        <v>2.0</v>
      </c>
      <c r="S15" s="11">
        <v>0.0</v>
      </c>
      <c r="T15" s="79">
        <v>5.0</v>
      </c>
      <c r="U15" s="35">
        <v>1.0</v>
      </c>
      <c r="V15" s="35">
        <v>0.0</v>
      </c>
      <c r="W15" s="13">
        <v>3.0</v>
      </c>
      <c r="X15" s="79">
        <v>9.5</v>
      </c>
      <c r="Y15" s="36">
        <v>3.0</v>
      </c>
      <c r="Z15" s="36">
        <v>1.0</v>
      </c>
      <c r="AA15" s="15">
        <v>1.0</v>
      </c>
      <c r="AB15" s="79">
        <v>5.0</v>
      </c>
      <c r="AC15" s="37">
        <v>2.0</v>
      </c>
      <c r="AD15" s="37">
        <v>0.0</v>
      </c>
      <c r="AE15" s="17">
        <v>1.0</v>
      </c>
      <c r="AF15" s="79">
        <v>10.0</v>
      </c>
      <c r="AG15" s="38">
        <v>3.0</v>
      </c>
      <c r="AH15" s="38">
        <v>2.0</v>
      </c>
      <c r="AI15" s="19">
        <v>2.0</v>
      </c>
      <c r="AJ15" s="79">
        <v>8.5</v>
      </c>
      <c r="AK15" s="39">
        <v>1.0</v>
      </c>
      <c r="AL15" s="39">
        <v>2.0</v>
      </c>
      <c r="AM15" s="21">
        <v>0.0</v>
      </c>
      <c r="AN15" s="79">
        <v>7.0</v>
      </c>
    </row>
    <row r="16">
      <c r="A16" s="102">
        <v>14.0</v>
      </c>
      <c r="B16" s="103">
        <v>1.0</v>
      </c>
      <c r="C16" s="103" t="s">
        <v>140</v>
      </c>
      <c r="D16" s="104">
        <v>44889.0</v>
      </c>
      <c r="E16" s="105">
        <v>0.6666666666666666</v>
      </c>
      <c r="F16" s="106"/>
      <c r="G16" s="106" t="s">
        <v>49</v>
      </c>
      <c r="H16" s="107">
        <v>0.0</v>
      </c>
      <c r="I16" s="107">
        <v>0.0</v>
      </c>
      <c r="J16" s="106" t="s">
        <v>143</v>
      </c>
      <c r="K16" s="76"/>
      <c r="L16" s="76"/>
      <c r="M16" s="33">
        <v>2.0</v>
      </c>
      <c r="N16" s="33">
        <v>1.0</v>
      </c>
      <c r="O16" s="8">
        <v>0.0</v>
      </c>
      <c r="P16" s="79">
        <v>10.0</v>
      </c>
      <c r="Q16" s="34">
        <v>3.0</v>
      </c>
      <c r="R16" s="34">
        <v>1.0</v>
      </c>
      <c r="S16" s="11">
        <v>0.0</v>
      </c>
      <c r="T16" s="79">
        <v>5.0</v>
      </c>
      <c r="U16" s="35">
        <v>2.0</v>
      </c>
      <c r="V16" s="35">
        <v>0.0</v>
      </c>
      <c r="W16" s="13">
        <v>0.0</v>
      </c>
      <c r="X16" s="79">
        <v>9.5</v>
      </c>
      <c r="Y16" s="36">
        <v>5.0</v>
      </c>
      <c r="Z16" s="36">
        <v>1.0</v>
      </c>
      <c r="AA16" s="15">
        <v>0.0</v>
      </c>
      <c r="AB16" s="79">
        <v>5.0</v>
      </c>
      <c r="AC16" s="37">
        <v>2.0</v>
      </c>
      <c r="AD16" s="37">
        <v>1.0</v>
      </c>
      <c r="AE16" s="17">
        <v>0.0</v>
      </c>
      <c r="AF16" s="79">
        <v>10.0</v>
      </c>
      <c r="AG16" s="38">
        <v>3.0</v>
      </c>
      <c r="AH16" s="38">
        <v>0.0</v>
      </c>
      <c r="AI16" s="19">
        <v>0.0</v>
      </c>
      <c r="AJ16" s="79">
        <v>8.5</v>
      </c>
      <c r="AK16" s="39">
        <v>3.0</v>
      </c>
      <c r="AL16" s="39">
        <v>1.0</v>
      </c>
      <c r="AM16" s="21">
        <v>0.0</v>
      </c>
      <c r="AN16" s="79">
        <v>7.0</v>
      </c>
    </row>
    <row r="17">
      <c r="A17" s="102">
        <v>15.0</v>
      </c>
      <c r="B17" s="103">
        <v>1.0</v>
      </c>
      <c r="C17" s="103" t="s">
        <v>140</v>
      </c>
      <c r="D17" s="104">
        <v>44889.0</v>
      </c>
      <c r="E17" s="105">
        <v>0.7916666666666666</v>
      </c>
      <c r="F17" s="106"/>
      <c r="G17" s="106" t="s">
        <v>58</v>
      </c>
      <c r="H17" s="107">
        <v>3.0</v>
      </c>
      <c r="I17" s="107">
        <v>2.0</v>
      </c>
      <c r="J17" s="106" t="s">
        <v>48</v>
      </c>
      <c r="K17" s="76"/>
      <c r="L17" s="76"/>
      <c r="M17" s="33">
        <v>2.0</v>
      </c>
      <c r="N17" s="33">
        <v>0.0</v>
      </c>
      <c r="O17" s="8">
        <v>1.0</v>
      </c>
      <c r="P17" s="79">
        <v>11.0</v>
      </c>
      <c r="Q17" s="34">
        <v>3.0</v>
      </c>
      <c r="R17" s="34">
        <v>0.0</v>
      </c>
      <c r="S17" s="11">
        <v>1.0</v>
      </c>
      <c r="T17" s="79">
        <v>6.0</v>
      </c>
      <c r="U17" s="35">
        <v>3.0</v>
      </c>
      <c r="V17" s="35">
        <v>0.0</v>
      </c>
      <c r="W17" s="13">
        <v>1.0</v>
      </c>
      <c r="X17" s="79">
        <v>10.5</v>
      </c>
      <c r="Y17" s="36">
        <v>2.0</v>
      </c>
      <c r="Z17" s="36">
        <v>1.0</v>
      </c>
      <c r="AA17" s="15">
        <v>2.0</v>
      </c>
      <c r="AB17" s="79">
        <v>7.0</v>
      </c>
      <c r="AC17" s="37">
        <v>2.0</v>
      </c>
      <c r="AD17" s="37">
        <v>0.0</v>
      </c>
      <c r="AE17" s="17">
        <v>1.0</v>
      </c>
      <c r="AF17" s="79">
        <v>11.0</v>
      </c>
      <c r="AG17" s="38">
        <v>2.0</v>
      </c>
      <c r="AH17" s="38">
        <v>0.0</v>
      </c>
      <c r="AI17" s="19">
        <v>1.0</v>
      </c>
      <c r="AJ17" s="79">
        <v>9.5</v>
      </c>
      <c r="AK17" s="39">
        <v>3.0</v>
      </c>
      <c r="AL17" s="39">
        <v>0.0</v>
      </c>
      <c r="AM17" s="21">
        <v>1.0</v>
      </c>
      <c r="AN17" s="79">
        <v>8.0</v>
      </c>
    </row>
    <row r="18">
      <c r="A18" s="108">
        <v>16.0</v>
      </c>
      <c r="B18" s="109">
        <v>1.0</v>
      </c>
      <c r="C18" s="109" t="s">
        <v>140</v>
      </c>
      <c r="D18" s="110">
        <v>44889.0</v>
      </c>
      <c r="E18" s="111">
        <v>0.9166666666666666</v>
      </c>
      <c r="F18" s="112"/>
      <c r="G18" s="112" t="s">
        <v>35</v>
      </c>
      <c r="H18" s="113">
        <v>2.0</v>
      </c>
      <c r="I18" s="113">
        <v>0.0</v>
      </c>
      <c r="J18" s="112" t="s">
        <v>144</v>
      </c>
      <c r="K18" s="23"/>
      <c r="L18" s="23"/>
      <c r="M18" s="44">
        <v>0.0</v>
      </c>
      <c r="N18" s="44">
        <v>1.0</v>
      </c>
      <c r="O18" s="58">
        <v>0.0</v>
      </c>
      <c r="P18" s="89">
        <v>11.0</v>
      </c>
      <c r="Q18" s="45">
        <v>2.0</v>
      </c>
      <c r="R18" s="45">
        <v>0.0</v>
      </c>
      <c r="S18" s="60">
        <v>3.0</v>
      </c>
      <c r="T18" s="89">
        <v>9.0</v>
      </c>
      <c r="U18" s="46">
        <v>2.0</v>
      </c>
      <c r="V18" s="46">
        <v>1.0</v>
      </c>
      <c r="W18" s="62">
        <v>1.0</v>
      </c>
      <c r="X18" s="89">
        <v>11.5</v>
      </c>
      <c r="Y18" s="47">
        <v>2.0</v>
      </c>
      <c r="Z18" s="47">
        <v>1.0</v>
      </c>
      <c r="AA18" s="64">
        <v>1.0</v>
      </c>
      <c r="AB18" s="89">
        <v>8.0</v>
      </c>
      <c r="AC18" s="48">
        <v>1.0</v>
      </c>
      <c r="AD18" s="48">
        <v>0.0</v>
      </c>
      <c r="AE18" s="66">
        <v>1.0</v>
      </c>
      <c r="AF18" s="89">
        <v>12.0</v>
      </c>
      <c r="AG18" s="49">
        <v>2.0</v>
      </c>
      <c r="AH18" s="49">
        <v>1.0</v>
      </c>
      <c r="AI18" s="68">
        <v>1.0</v>
      </c>
      <c r="AJ18" s="89">
        <v>10.5</v>
      </c>
      <c r="AK18" s="50">
        <v>2.0</v>
      </c>
      <c r="AL18" s="50">
        <v>1.0</v>
      </c>
      <c r="AM18" s="70">
        <v>1.0</v>
      </c>
      <c r="AN18" s="89">
        <v>9.0</v>
      </c>
    </row>
    <row r="19">
      <c r="A19" s="114"/>
      <c r="B19" s="115"/>
      <c r="C19" s="115"/>
      <c r="D19" s="116"/>
      <c r="E19" s="117"/>
      <c r="F19" s="118"/>
      <c r="G19" s="118"/>
      <c r="H19" s="119"/>
      <c r="I19" s="119"/>
      <c r="J19" s="118"/>
      <c r="K19" s="120"/>
      <c r="L19" s="120"/>
      <c r="M19" s="121"/>
      <c r="N19" s="121"/>
      <c r="O19" s="121">
        <v>11.0</v>
      </c>
      <c r="P19" s="79">
        <v>11.0</v>
      </c>
      <c r="Q19" s="9"/>
      <c r="R19" s="9"/>
      <c r="S19" s="121">
        <v>9.0</v>
      </c>
      <c r="T19" s="79">
        <v>9.0</v>
      </c>
      <c r="U19" s="9"/>
      <c r="V19" s="9"/>
      <c r="W19" s="121">
        <v>11.5</v>
      </c>
      <c r="X19" s="79">
        <v>11.5</v>
      </c>
      <c r="Y19" s="9"/>
      <c r="Z19" s="9"/>
      <c r="AA19" s="121">
        <v>8.0</v>
      </c>
      <c r="AB19" s="79">
        <v>8.0</v>
      </c>
      <c r="AC19" s="9"/>
      <c r="AD19" s="9"/>
      <c r="AE19" s="121">
        <v>12.0</v>
      </c>
      <c r="AF19" s="79">
        <v>12.0</v>
      </c>
      <c r="AG19" s="9"/>
      <c r="AH19" s="9"/>
      <c r="AI19" s="121">
        <v>10.5</v>
      </c>
      <c r="AJ19" s="79">
        <v>10.5</v>
      </c>
      <c r="AK19" s="9"/>
      <c r="AL19" s="9"/>
      <c r="AM19" s="121">
        <v>9.0</v>
      </c>
      <c r="AN19" s="79">
        <v>9.0</v>
      </c>
    </row>
    <row r="20">
      <c r="A20" s="102">
        <v>17.0</v>
      </c>
      <c r="B20" s="103">
        <v>2.0</v>
      </c>
      <c r="C20" s="103" t="s">
        <v>145</v>
      </c>
      <c r="D20" s="104">
        <v>44890.0</v>
      </c>
      <c r="E20" s="105">
        <v>0.5416666666666666</v>
      </c>
      <c r="F20" s="106"/>
      <c r="G20" s="106" t="s">
        <v>128</v>
      </c>
      <c r="H20" s="107">
        <v>0.0</v>
      </c>
      <c r="I20" s="107">
        <v>2.0</v>
      </c>
      <c r="J20" s="106" t="s">
        <v>126</v>
      </c>
      <c r="K20" s="76"/>
      <c r="L20" s="76"/>
      <c r="M20" s="33">
        <v>0.0</v>
      </c>
      <c r="N20" s="33">
        <v>1.0</v>
      </c>
      <c r="O20" s="8">
        <v>1.0</v>
      </c>
      <c r="P20" s="79">
        <v>12.0</v>
      </c>
      <c r="Q20" s="34">
        <v>2.0</v>
      </c>
      <c r="R20" s="34">
        <v>2.0</v>
      </c>
      <c r="S20" s="11">
        <v>0.0</v>
      </c>
      <c r="T20" s="79">
        <v>9.0</v>
      </c>
      <c r="U20" s="35">
        <v>2.0</v>
      </c>
      <c r="V20" s="35">
        <v>2.0</v>
      </c>
      <c r="W20" s="13">
        <v>0.0</v>
      </c>
      <c r="X20" s="79">
        <v>11.5</v>
      </c>
      <c r="Y20" s="36">
        <v>2.0</v>
      </c>
      <c r="Z20" s="36">
        <v>2.0</v>
      </c>
      <c r="AA20" s="15">
        <v>0.0</v>
      </c>
      <c r="AB20" s="79">
        <v>8.0</v>
      </c>
      <c r="AC20" s="37">
        <v>2.0</v>
      </c>
      <c r="AD20" s="37">
        <v>1.0</v>
      </c>
      <c r="AE20" s="17">
        <v>0.0</v>
      </c>
      <c r="AF20" s="79">
        <v>12.0</v>
      </c>
      <c r="AG20" s="38">
        <v>2.0</v>
      </c>
      <c r="AH20" s="38">
        <v>1.0</v>
      </c>
      <c r="AI20" s="19">
        <v>0.0</v>
      </c>
      <c r="AJ20" s="79">
        <v>10.5</v>
      </c>
      <c r="AK20" s="39">
        <v>3.0</v>
      </c>
      <c r="AL20" s="39">
        <v>0.0</v>
      </c>
      <c r="AM20" s="21">
        <v>0.0</v>
      </c>
      <c r="AN20" s="79">
        <v>9.0</v>
      </c>
    </row>
    <row r="21">
      <c r="A21" s="102">
        <v>18.0</v>
      </c>
      <c r="B21" s="103">
        <v>2.0</v>
      </c>
      <c r="C21" s="103" t="s">
        <v>145</v>
      </c>
      <c r="D21" s="104">
        <v>44890.0</v>
      </c>
      <c r="E21" s="105">
        <v>0.6666666666666666</v>
      </c>
      <c r="F21" s="106"/>
      <c r="G21" s="106" t="s">
        <v>122</v>
      </c>
      <c r="H21" s="107">
        <v>1.0</v>
      </c>
      <c r="I21" s="107">
        <v>3.0</v>
      </c>
      <c r="J21" s="106" t="s">
        <v>125</v>
      </c>
      <c r="K21" s="76"/>
      <c r="L21" s="76"/>
      <c r="M21" s="33">
        <v>0.0</v>
      </c>
      <c r="N21" s="33">
        <v>2.0</v>
      </c>
      <c r="O21" s="8">
        <v>2.0</v>
      </c>
      <c r="P21" s="79">
        <v>14.0</v>
      </c>
      <c r="Q21" s="34">
        <v>0.0</v>
      </c>
      <c r="R21" s="34">
        <v>1.0</v>
      </c>
      <c r="S21" s="11">
        <v>1.0</v>
      </c>
      <c r="T21" s="79">
        <v>10.0</v>
      </c>
      <c r="U21" s="35">
        <v>0.0</v>
      </c>
      <c r="V21" s="35">
        <v>2.0</v>
      </c>
      <c r="W21" s="13">
        <v>2.0</v>
      </c>
      <c r="X21" s="79">
        <v>13.5</v>
      </c>
      <c r="Y21" s="36">
        <v>1.0</v>
      </c>
      <c r="Z21" s="36">
        <v>2.0</v>
      </c>
      <c r="AA21" s="15">
        <v>1.0</v>
      </c>
      <c r="AB21" s="79">
        <v>9.0</v>
      </c>
      <c r="AC21" s="37">
        <v>0.0</v>
      </c>
      <c r="AD21" s="37">
        <v>2.0</v>
      </c>
      <c r="AE21" s="17">
        <v>2.0</v>
      </c>
      <c r="AF21" s="79">
        <v>14.0</v>
      </c>
      <c r="AG21" s="38">
        <v>1.0</v>
      </c>
      <c r="AH21" s="38">
        <v>2.0</v>
      </c>
      <c r="AI21" s="19">
        <v>1.0</v>
      </c>
      <c r="AJ21" s="79">
        <v>11.5</v>
      </c>
      <c r="AK21" s="39">
        <v>0.0</v>
      </c>
      <c r="AL21" s="39">
        <v>3.0</v>
      </c>
      <c r="AM21" s="21">
        <v>1.0</v>
      </c>
      <c r="AN21" s="79">
        <v>10.0</v>
      </c>
    </row>
    <row r="22">
      <c r="A22" s="102">
        <v>19.0</v>
      </c>
      <c r="B22" s="103">
        <v>2.0</v>
      </c>
      <c r="C22" s="103" t="s">
        <v>145</v>
      </c>
      <c r="D22" s="104">
        <v>44890.0</v>
      </c>
      <c r="E22" s="105">
        <v>0.7916666666666666</v>
      </c>
      <c r="F22" s="106"/>
      <c r="G22" s="106" t="s">
        <v>79</v>
      </c>
      <c r="H22" s="107">
        <v>1.0</v>
      </c>
      <c r="I22" s="107">
        <v>1.0</v>
      </c>
      <c r="J22" s="106" t="s">
        <v>123</v>
      </c>
      <c r="K22" s="76"/>
      <c r="L22" s="76"/>
      <c r="M22" s="33">
        <v>2.0</v>
      </c>
      <c r="N22" s="33">
        <v>0.0</v>
      </c>
      <c r="O22" s="8">
        <v>0.0</v>
      </c>
      <c r="P22" s="79">
        <v>14.0</v>
      </c>
      <c r="Q22" s="34">
        <v>2.0</v>
      </c>
      <c r="R22" s="34">
        <v>1.0</v>
      </c>
      <c r="S22" s="11">
        <v>0.0</v>
      </c>
      <c r="T22" s="79">
        <v>10.0</v>
      </c>
      <c r="U22" s="35">
        <v>3.0</v>
      </c>
      <c r="V22" s="35">
        <v>2.0</v>
      </c>
      <c r="W22" s="13">
        <v>0.0</v>
      </c>
      <c r="X22" s="79">
        <v>13.5</v>
      </c>
      <c r="Y22" s="36">
        <v>3.0</v>
      </c>
      <c r="Z22" s="36">
        <v>1.0</v>
      </c>
      <c r="AA22" s="15">
        <v>0.0</v>
      </c>
      <c r="AB22" s="79">
        <v>9.0</v>
      </c>
      <c r="AC22" s="37">
        <v>2.0</v>
      </c>
      <c r="AD22" s="37">
        <v>1.0</v>
      </c>
      <c r="AE22" s="17">
        <v>0.0</v>
      </c>
      <c r="AF22" s="79">
        <v>14.0</v>
      </c>
      <c r="AG22" s="38">
        <v>1.0</v>
      </c>
      <c r="AH22" s="38">
        <v>1.0</v>
      </c>
      <c r="AI22" s="19">
        <v>3.0</v>
      </c>
      <c r="AJ22" s="79">
        <v>14.5</v>
      </c>
      <c r="AK22" s="39">
        <v>2.0</v>
      </c>
      <c r="AL22" s="39">
        <v>1.0</v>
      </c>
      <c r="AM22" s="21">
        <v>0.0</v>
      </c>
      <c r="AN22" s="79">
        <v>10.0</v>
      </c>
    </row>
    <row r="23">
      <c r="A23" s="102">
        <v>20.0</v>
      </c>
      <c r="B23" s="103">
        <v>2.0</v>
      </c>
      <c r="C23" s="103" t="s">
        <v>145</v>
      </c>
      <c r="D23" s="104">
        <v>44890.0</v>
      </c>
      <c r="E23" s="105">
        <v>0.9166666666666666</v>
      </c>
      <c r="F23" s="106"/>
      <c r="G23" s="106" t="s">
        <v>61</v>
      </c>
      <c r="H23" s="107">
        <v>0.0</v>
      </c>
      <c r="I23" s="107">
        <v>0.0</v>
      </c>
      <c r="J23" s="106" t="s">
        <v>127</v>
      </c>
      <c r="K23" s="76"/>
      <c r="L23" s="76"/>
      <c r="M23" s="33">
        <v>3.0</v>
      </c>
      <c r="N23" s="33">
        <v>0.0</v>
      </c>
      <c r="O23" s="8">
        <v>0.0</v>
      </c>
      <c r="P23" s="79">
        <v>14.0</v>
      </c>
      <c r="Q23" s="34">
        <v>3.0</v>
      </c>
      <c r="R23" s="34">
        <v>1.0</v>
      </c>
      <c r="S23" s="11">
        <v>0.0</v>
      </c>
      <c r="T23" s="79">
        <v>10.0</v>
      </c>
      <c r="U23" s="35">
        <v>3.0</v>
      </c>
      <c r="V23" s="35">
        <v>1.0</v>
      </c>
      <c r="W23" s="13">
        <v>0.0</v>
      </c>
      <c r="X23" s="79">
        <v>13.5</v>
      </c>
      <c r="Y23" s="36">
        <v>1.0</v>
      </c>
      <c r="Z23" s="36">
        <v>1.0</v>
      </c>
      <c r="AA23" s="15">
        <v>1.5</v>
      </c>
      <c r="AB23" s="79">
        <v>10.5</v>
      </c>
      <c r="AC23" s="37">
        <v>2.0</v>
      </c>
      <c r="AD23" s="37">
        <v>0.0</v>
      </c>
      <c r="AE23" s="17">
        <v>0.0</v>
      </c>
      <c r="AF23" s="79">
        <v>14.0</v>
      </c>
      <c r="AG23" s="38">
        <v>1.0</v>
      </c>
      <c r="AH23" s="38">
        <v>0.0</v>
      </c>
      <c r="AI23" s="19">
        <v>0.0</v>
      </c>
      <c r="AJ23" s="79">
        <v>14.5</v>
      </c>
      <c r="AK23" s="39">
        <v>2.0</v>
      </c>
      <c r="AL23" s="39">
        <v>1.0</v>
      </c>
      <c r="AM23" s="21">
        <v>0.0</v>
      </c>
      <c r="AN23" s="79">
        <v>10.0</v>
      </c>
    </row>
    <row r="24">
      <c r="A24" s="102">
        <v>21.0</v>
      </c>
      <c r="B24" s="103">
        <v>2.0</v>
      </c>
      <c r="C24" s="103" t="s">
        <v>146</v>
      </c>
      <c r="D24" s="104">
        <v>44891.0</v>
      </c>
      <c r="E24" s="105">
        <v>0.5416666666666666</v>
      </c>
      <c r="F24" s="106"/>
      <c r="G24" s="106" t="s">
        <v>131</v>
      </c>
      <c r="H24" s="107">
        <v>0.0</v>
      </c>
      <c r="I24" s="107">
        <v>1.0</v>
      </c>
      <c r="J24" s="106" t="s">
        <v>133</v>
      </c>
      <c r="K24" s="76"/>
      <c r="L24" s="76"/>
      <c r="M24" s="33">
        <v>2.0</v>
      </c>
      <c r="N24" s="33">
        <v>1.0</v>
      </c>
      <c r="O24" s="8">
        <v>0.0</v>
      </c>
      <c r="P24" s="79">
        <v>14.0</v>
      </c>
      <c r="Q24" s="34">
        <v>1.0</v>
      </c>
      <c r="R24" s="34">
        <v>1.0</v>
      </c>
      <c r="S24" s="11">
        <v>0.0</v>
      </c>
      <c r="T24" s="79">
        <v>10.0</v>
      </c>
      <c r="U24" s="35">
        <v>1.0</v>
      </c>
      <c r="V24" s="35">
        <v>0.0</v>
      </c>
      <c r="W24" s="13">
        <v>0.0</v>
      </c>
      <c r="X24" s="79">
        <v>13.5</v>
      </c>
      <c r="Y24" s="36">
        <v>2.0</v>
      </c>
      <c r="Z24" s="36">
        <v>1.0</v>
      </c>
      <c r="AA24" s="15">
        <v>0.0</v>
      </c>
      <c r="AB24" s="79">
        <v>10.5</v>
      </c>
      <c r="AC24" s="37">
        <v>1.0</v>
      </c>
      <c r="AD24" s="37">
        <v>0.0</v>
      </c>
      <c r="AE24" s="17">
        <v>0.0</v>
      </c>
      <c r="AF24" s="79">
        <v>14.0</v>
      </c>
      <c r="AG24" s="38">
        <v>2.0</v>
      </c>
      <c r="AH24" s="38">
        <v>2.0</v>
      </c>
      <c r="AI24" s="19">
        <v>0.0</v>
      </c>
      <c r="AJ24" s="79">
        <v>14.5</v>
      </c>
      <c r="AK24" s="39">
        <v>1.0</v>
      </c>
      <c r="AL24" s="39">
        <v>1.0</v>
      </c>
      <c r="AM24" s="21">
        <v>0.0</v>
      </c>
      <c r="AN24" s="79">
        <v>10.0</v>
      </c>
    </row>
    <row r="25">
      <c r="A25" s="102">
        <v>22.0</v>
      </c>
      <c r="B25" s="103">
        <v>2.0</v>
      </c>
      <c r="C25" s="103" t="s">
        <v>146</v>
      </c>
      <c r="D25" s="104">
        <v>44891.0</v>
      </c>
      <c r="E25" s="105">
        <v>0.6666666666666666</v>
      </c>
      <c r="F25" s="106"/>
      <c r="G25" s="106" t="s">
        <v>132</v>
      </c>
      <c r="H25" s="107">
        <v>2.0</v>
      </c>
      <c r="I25" s="107">
        <v>0.0</v>
      </c>
      <c r="J25" s="106" t="s">
        <v>130</v>
      </c>
      <c r="K25" s="76"/>
      <c r="L25" s="76"/>
      <c r="M25" s="33">
        <v>3.0</v>
      </c>
      <c r="N25" s="33">
        <v>0.0</v>
      </c>
      <c r="O25" s="8">
        <v>1.0</v>
      </c>
      <c r="P25" s="79">
        <v>15.0</v>
      </c>
      <c r="Q25" s="34">
        <v>1.0</v>
      </c>
      <c r="R25" s="34">
        <v>0.0</v>
      </c>
      <c r="S25" s="11">
        <v>1.0</v>
      </c>
      <c r="T25" s="79">
        <v>11.0</v>
      </c>
      <c r="U25" s="35">
        <v>2.0</v>
      </c>
      <c r="V25" s="35">
        <v>1.0</v>
      </c>
      <c r="W25" s="13">
        <v>1.0</v>
      </c>
      <c r="X25" s="79">
        <v>14.5</v>
      </c>
      <c r="Y25" s="36">
        <v>2.0</v>
      </c>
      <c r="Z25" s="36">
        <v>1.0</v>
      </c>
      <c r="AA25" s="15">
        <v>1.0</v>
      </c>
      <c r="AB25" s="79">
        <v>11.5</v>
      </c>
      <c r="AC25" s="37">
        <v>2.0</v>
      </c>
      <c r="AD25" s="37">
        <v>1.0</v>
      </c>
      <c r="AE25" s="17">
        <v>1.0</v>
      </c>
      <c r="AF25" s="79">
        <v>15.0</v>
      </c>
      <c r="AG25" s="38">
        <v>3.0</v>
      </c>
      <c r="AH25" s="38">
        <v>0.0</v>
      </c>
      <c r="AI25" s="19">
        <v>1.0</v>
      </c>
      <c r="AJ25" s="79">
        <v>15.5</v>
      </c>
      <c r="AK25" s="39">
        <v>2.0</v>
      </c>
      <c r="AL25" s="39">
        <v>1.0</v>
      </c>
      <c r="AM25" s="21">
        <v>1.0</v>
      </c>
      <c r="AN25" s="79">
        <v>11.0</v>
      </c>
    </row>
    <row r="26">
      <c r="A26" s="102">
        <v>23.0</v>
      </c>
      <c r="B26" s="103">
        <v>2.0</v>
      </c>
      <c r="C26" s="103" t="s">
        <v>146</v>
      </c>
      <c r="D26" s="104">
        <v>44891.0</v>
      </c>
      <c r="E26" s="105">
        <v>0.7916666666666666</v>
      </c>
      <c r="F26" s="106"/>
      <c r="G26" s="106" t="s">
        <v>36</v>
      </c>
      <c r="H26" s="107">
        <v>2.0</v>
      </c>
      <c r="I26" s="107">
        <v>1.0</v>
      </c>
      <c r="J26" s="106" t="s">
        <v>57</v>
      </c>
      <c r="K26" s="76"/>
      <c r="L26" s="76"/>
      <c r="M26" s="33">
        <v>1.0</v>
      </c>
      <c r="N26" s="33">
        <v>1.0</v>
      </c>
      <c r="O26" s="8">
        <v>0.0</v>
      </c>
      <c r="P26" s="79">
        <v>15.0</v>
      </c>
      <c r="Q26" s="34">
        <v>2.0</v>
      </c>
      <c r="R26" s="34">
        <v>0.0</v>
      </c>
      <c r="S26" s="11">
        <v>1.0</v>
      </c>
      <c r="T26" s="79">
        <v>12.0</v>
      </c>
      <c r="U26" s="35">
        <v>3.0</v>
      </c>
      <c r="V26" s="35">
        <v>0.0</v>
      </c>
      <c r="W26" s="13">
        <v>1.0</v>
      </c>
      <c r="X26" s="79">
        <v>15.5</v>
      </c>
      <c r="Y26" s="36">
        <v>1.0</v>
      </c>
      <c r="Z26" s="36">
        <v>1.0</v>
      </c>
      <c r="AA26" s="15">
        <v>0.0</v>
      </c>
      <c r="AB26" s="79">
        <v>11.5</v>
      </c>
      <c r="AC26" s="37">
        <v>2.0</v>
      </c>
      <c r="AD26" s="37">
        <v>1.0</v>
      </c>
      <c r="AE26" s="17">
        <v>3.0</v>
      </c>
      <c r="AF26" s="79">
        <v>18.0</v>
      </c>
      <c r="AG26" s="38">
        <v>1.0</v>
      </c>
      <c r="AH26" s="38">
        <v>0.0</v>
      </c>
      <c r="AI26" s="19">
        <v>2.0</v>
      </c>
      <c r="AJ26" s="79">
        <v>17.5</v>
      </c>
      <c r="AK26" s="39">
        <v>3.0</v>
      </c>
      <c r="AL26" s="39">
        <v>1.0</v>
      </c>
      <c r="AM26" s="21">
        <v>1.0</v>
      </c>
      <c r="AN26" s="79">
        <v>12.0</v>
      </c>
    </row>
    <row r="27">
      <c r="A27" s="102">
        <v>24.0</v>
      </c>
      <c r="B27" s="103">
        <v>2.0</v>
      </c>
      <c r="C27" s="103" t="s">
        <v>146</v>
      </c>
      <c r="D27" s="104">
        <v>44891.0</v>
      </c>
      <c r="E27" s="105">
        <v>0.9166666666666666</v>
      </c>
      <c r="F27" s="106"/>
      <c r="G27" s="106" t="s">
        <v>76</v>
      </c>
      <c r="H27" s="107">
        <v>0.0</v>
      </c>
      <c r="I27" s="107">
        <v>0.0</v>
      </c>
      <c r="J27" s="106" t="s">
        <v>47</v>
      </c>
      <c r="K27" s="76"/>
      <c r="L27" s="76"/>
      <c r="M27" s="33">
        <v>1.0</v>
      </c>
      <c r="N27" s="33">
        <v>1.0</v>
      </c>
      <c r="O27" s="8">
        <v>1.5</v>
      </c>
      <c r="P27" s="79">
        <v>16.5</v>
      </c>
      <c r="Q27" s="34">
        <v>2.0</v>
      </c>
      <c r="R27" s="34">
        <v>1.0</v>
      </c>
      <c r="S27" s="11">
        <v>0.0</v>
      </c>
      <c r="T27" s="79">
        <v>12.0</v>
      </c>
      <c r="U27" s="35">
        <v>2.0</v>
      </c>
      <c r="V27" s="35">
        <v>0.0</v>
      </c>
      <c r="W27" s="13">
        <v>0.0</v>
      </c>
      <c r="X27" s="79">
        <v>15.5</v>
      </c>
      <c r="Y27" s="36">
        <v>2.0</v>
      </c>
      <c r="Z27" s="36">
        <v>1.0</v>
      </c>
      <c r="AA27" s="15">
        <v>0.0</v>
      </c>
      <c r="AB27" s="79">
        <v>11.5</v>
      </c>
      <c r="AC27" s="37">
        <v>2.0</v>
      </c>
      <c r="AD27" s="37">
        <v>1.0</v>
      </c>
      <c r="AE27" s="17">
        <v>0.0</v>
      </c>
      <c r="AF27" s="79">
        <v>18.0</v>
      </c>
      <c r="AG27" s="38">
        <v>2.0</v>
      </c>
      <c r="AH27" s="38">
        <v>1.0</v>
      </c>
      <c r="AI27" s="19">
        <v>0.0</v>
      </c>
      <c r="AJ27" s="79">
        <v>17.5</v>
      </c>
      <c r="AK27" s="39">
        <v>1.0</v>
      </c>
      <c r="AL27" s="39">
        <v>1.0</v>
      </c>
      <c r="AM27" s="21">
        <v>1.5</v>
      </c>
      <c r="AN27" s="79">
        <v>13.5</v>
      </c>
    </row>
    <row r="28">
      <c r="A28" s="102">
        <v>25.0</v>
      </c>
      <c r="B28" s="103">
        <v>2.0</v>
      </c>
      <c r="C28" s="103" t="s">
        <v>121</v>
      </c>
      <c r="D28" s="104">
        <v>44892.0</v>
      </c>
      <c r="E28" s="105">
        <v>0.5416666666666666</v>
      </c>
      <c r="F28" s="106"/>
      <c r="G28" s="106" t="s">
        <v>34</v>
      </c>
      <c r="H28" s="107">
        <v>0.0</v>
      </c>
      <c r="I28" s="107">
        <v>1.0</v>
      </c>
      <c r="J28" s="106" t="s">
        <v>137</v>
      </c>
      <c r="K28" s="76"/>
      <c r="L28" s="76"/>
      <c r="M28" s="33">
        <v>3.0</v>
      </c>
      <c r="N28" s="33">
        <v>0.0</v>
      </c>
      <c r="O28" s="8">
        <v>0.0</v>
      </c>
      <c r="P28" s="79">
        <v>16.5</v>
      </c>
      <c r="Q28" s="34">
        <v>2.0</v>
      </c>
      <c r="R28" s="34">
        <v>0.0</v>
      </c>
      <c r="S28" s="11">
        <v>0.0</v>
      </c>
      <c r="T28" s="79">
        <v>12.0</v>
      </c>
      <c r="U28" s="35">
        <v>1.0</v>
      </c>
      <c r="V28" s="35">
        <v>0.0</v>
      </c>
      <c r="W28" s="13">
        <v>0.0</v>
      </c>
      <c r="X28" s="79">
        <v>15.5</v>
      </c>
      <c r="Y28" s="36">
        <v>0.0</v>
      </c>
      <c r="Z28" s="36">
        <v>2.0</v>
      </c>
      <c r="AA28" s="15">
        <v>1.0</v>
      </c>
      <c r="AB28" s="79">
        <v>12.5</v>
      </c>
      <c r="AC28" s="37">
        <v>3.0</v>
      </c>
      <c r="AD28" s="37">
        <v>0.0</v>
      </c>
      <c r="AE28" s="17">
        <v>0.0</v>
      </c>
      <c r="AF28" s="79">
        <v>18.0</v>
      </c>
      <c r="AG28" s="38">
        <v>2.0</v>
      </c>
      <c r="AH28" s="38">
        <v>1.0</v>
      </c>
      <c r="AI28" s="19">
        <v>0.0</v>
      </c>
      <c r="AJ28" s="79">
        <v>17.5</v>
      </c>
      <c r="AK28" s="39">
        <v>2.0</v>
      </c>
      <c r="AL28" s="39">
        <v>0.0</v>
      </c>
      <c r="AM28" s="21">
        <v>0.0</v>
      </c>
      <c r="AN28" s="79">
        <v>13.5</v>
      </c>
    </row>
    <row r="29">
      <c r="A29" s="102">
        <v>26.0</v>
      </c>
      <c r="B29" s="103">
        <v>2.0</v>
      </c>
      <c r="C29" s="103" t="s">
        <v>121</v>
      </c>
      <c r="D29" s="104">
        <v>44892.0</v>
      </c>
      <c r="E29" s="105">
        <v>0.6666666666666666</v>
      </c>
      <c r="F29" s="106"/>
      <c r="G29" s="106" t="s">
        <v>138</v>
      </c>
      <c r="H29" s="107">
        <v>0.0</v>
      </c>
      <c r="I29" s="107">
        <v>2.0</v>
      </c>
      <c r="J29" s="106" t="s">
        <v>135</v>
      </c>
      <c r="K29" s="76"/>
      <c r="L29" s="76"/>
      <c r="M29" s="33">
        <v>1.0</v>
      </c>
      <c r="N29" s="33">
        <v>1.0</v>
      </c>
      <c r="O29" s="8">
        <v>0.0</v>
      </c>
      <c r="P29" s="79">
        <v>16.5</v>
      </c>
      <c r="Q29" s="34">
        <v>1.0</v>
      </c>
      <c r="R29" s="34">
        <v>0.0</v>
      </c>
      <c r="S29" s="11">
        <v>0.0</v>
      </c>
      <c r="T29" s="79">
        <v>12.0</v>
      </c>
      <c r="U29" s="35">
        <v>2.0</v>
      </c>
      <c r="V29" s="35">
        <v>0.0</v>
      </c>
      <c r="W29" s="13">
        <v>0.0</v>
      </c>
      <c r="X29" s="79">
        <v>15.5</v>
      </c>
      <c r="Y29" s="36">
        <v>2.0</v>
      </c>
      <c r="Z29" s="36">
        <v>2.0</v>
      </c>
      <c r="AA29" s="15">
        <v>0.0</v>
      </c>
      <c r="AB29" s="79">
        <v>12.5</v>
      </c>
      <c r="AC29" s="37">
        <v>1.0</v>
      </c>
      <c r="AD29" s="37">
        <v>0.0</v>
      </c>
      <c r="AE29" s="17">
        <v>0.0</v>
      </c>
      <c r="AF29" s="79">
        <v>18.0</v>
      </c>
      <c r="AG29" s="38">
        <v>1.0</v>
      </c>
      <c r="AH29" s="38">
        <v>0.0</v>
      </c>
      <c r="AI29" s="19">
        <v>0.0</v>
      </c>
      <c r="AJ29" s="79">
        <v>17.5</v>
      </c>
      <c r="AK29" s="39">
        <v>2.0</v>
      </c>
      <c r="AL29" s="39">
        <v>0.0</v>
      </c>
      <c r="AM29" s="21">
        <v>0.0</v>
      </c>
      <c r="AN29" s="79">
        <v>13.5</v>
      </c>
    </row>
    <row r="30">
      <c r="A30" s="102">
        <v>27.0</v>
      </c>
      <c r="B30" s="103">
        <v>2.0</v>
      </c>
      <c r="C30" s="103" t="s">
        <v>121</v>
      </c>
      <c r="D30" s="104">
        <v>44892.0</v>
      </c>
      <c r="E30" s="105">
        <v>0.7916666666666666</v>
      </c>
      <c r="F30" s="106"/>
      <c r="G30" s="106" t="s">
        <v>136</v>
      </c>
      <c r="H30" s="107">
        <v>4.0</v>
      </c>
      <c r="I30" s="107">
        <v>1.0</v>
      </c>
      <c r="J30" s="106" t="s">
        <v>139</v>
      </c>
      <c r="K30" s="76"/>
      <c r="L30" s="76"/>
      <c r="M30" s="33">
        <v>1.0</v>
      </c>
      <c r="N30" s="33">
        <v>0.0</v>
      </c>
      <c r="O30" s="8">
        <v>1.0</v>
      </c>
      <c r="P30" s="79">
        <v>17.5</v>
      </c>
      <c r="Q30" s="34">
        <v>2.0</v>
      </c>
      <c r="R30" s="34">
        <v>0.0</v>
      </c>
      <c r="S30" s="11">
        <v>1.0</v>
      </c>
      <c r="T30" s="79">
        <v>13.0</v>
      </c>
      <c r="U30" s="35">
        <v>1.0</v>
      </c>
      <c r="V30" s="35">
        <v>0.0</v>
      </c>
      <c r="W30" s="13">
        <v>1.0</v>
      </c>
      <c r="X30" s="79">
        <v>16.5</v>
      </c>
      <c r="Y30" s="36">
        <v>3.0</v>
      </c>
      <c r="Z30" s="36">
        <v>0.0</v>
      </c>
      <c r="AA30" s="15">
        <v>2.0</v>
      </c>
      <c r="AB30" s="79">
        <v>14.5</v>
      </c>
      <c r="AC30" s="37">
        <v>1.0</v>
      </c>
      <c r="AD30" s="37">
        <v>0.0</v>
      </c>
      <c r="AE30" s="17">
        <v>1.0</v>
      </c>
      <c r="AF30" s="79">
        <v>19.0</v>
      </c>
      <c r="AG30" s="38">
        <v>1.0</v>
      </c>
      <c r="AH30" s="38">
        <v>2.0</v>
      </c>
      <c r="AI30" s="19">
        <v>0.0</v>
      </c>
      <c r="AJ30" s="79">
        <v>17.5</v>
      </c>
      <c r="AK30" s="39">
        <v>0.0</v>
      </c>
      <c r="AL30" s="39">
        <v>1.0</v>
      </c>
      <c r="AM30" s="21">
        <v>0.0</v>
      </c>
      <c r="AN30" s="79">
        <v>13.5</v>
      </c>
    </row>
    <row r="31">
      <c r="A31" s="102">
        <v>28.0</v>
      </c>
      <c r="B31" s="103">
        <v>2.0</v>
      </c>
      <c r="C31" s="103" t="s">
        <v>121</v>
      </c>
      <c r="D31" s="104">
        <v>44892.0</v>
      </c>
      <c r="E31" s="105">
        <v>0.9166666666666666</v>
      </c>
      <c r="F31" s="106"/>
      <c r="G31" s="106" t="s">
        <v>50</v>
      </c>
      <c r="H31" s="107">
        <v>1.0</v>
      </c>
      <c r="I31" s="107">
        <v>1.0</v>
      </c>
      <c r="J31" s="106" t="s">
        <v>37</v>
      </c>
      <c r="K31" s="76"/>
      <c r="L31" s="76"/>
      <c r="M31" s="33">
        <v>2.0</v>
      </c>
      <c r="N31" s="33">
        <v>1.0</v>
      </c>
      <c r="O31" s="8">
        <v>0.0</v>
      </c>
      <c r="P31" s="79">
        <v>17.5</v>
      </c>
      <c r="Q31" s="34">
        <v>2.0</v>
      </c>
      <c r="R31" s="34">
        <v>1.0</v>
      </c>
      <c r="S31" s="11">
        <v>0.0</v>
      </c>
      <c r="T31" s="79">
        <v>13.0</v>
      </c>
      <c r="U31" s="35">
        <v>2.0</v>
      </c>
      <c r="V31" s="35">
        <v>1.0</v>
      </c>
      <c r="W31" s="13">
        <v>0.0</v>
      </c>
      <c r="X31" s="79">
        <v>16.5</v>
      </c>
      <c r="Y31" s="36">
        <v>2.0</v>
      </c>
      <c r="Z31" s="36">
        <v>1.0</v>
      </c>
      <c r="AA31" s="15">
        <v>0.0</v>
      </c>
      <c r="AB31" s="79">
        <v>14.5</v>
      </c>
      <c r="AC31" s="37">
        <v>2.0</v>
      </c>
      <c r="AD31" s="37">
        <v>1.0</v>
      </c>
      <c r="AE31" s="17">
        <v>0.0</v>
      </c>
      <c r="AF31" s="79">
        <v>19.0</v>
      </c>
      <c r="AG31" s="38">
        <v>3.0</v>
      </c>
      <c r="AH31" s="38">
        <v>1.0</v>
      </c>
      <c r="AI31" s="19">
        <v>0.0</v>
      </c>
      <c r="AJ31" s="79">
        <v>17.5</v>
      </c>
      <c r="AK31" s="39">
        <v>2.0</v>
      </c>
      <c r="AL31" s="39">
        <v>1.0</v>
      </c>
      <c r="AM31" s="21">
        <v>0.0</v>
      </c>
      <c r="AN31" s="79">
        <v>13.5</v>
      </c>
    </row>
    <row r="32">
      <c r="A32" s="102">
        <v>29.0</v>
      </c>
      <c r="B32" s="103">
        <v>2.0</v>
      </c>
      <c r="C32" s="103" t="s">
        <v>124</v>
      </c>
      <c r="D32" s="104">
        <v>44893.0</v>
      </c>
      <c r="E32" s="105">
        <v>0.5416666666666666</v>
      </c>
      <c r="F32" s="106"/>
      <c r="G32" s="106" t="s">
        <v>142</v>
      </c>
      <c r="H32" s="107">
        <v>3.0</v>
      </c>
      <c r="I32" s="107">
        <v>3.0</v>
      </c>
      <c r="J32" s="106" t="s">
        <v>144</v>
      </c>
      <c r="K32" s="76"/>
      <c r="L32" s="76"/>
      <c r="M32" s="33">
        <v>0.0</v>
      </c>
      <c r="N32" s="33">
        <v>2.0</v>
      </c>
      <c r="O32" s="8">
        <v>0.0</v>
      </c>
      <c r="P32" s="79">
        <v>17.5</v>
      </c>
      <c r="Q32" s="34">
        <v>0.0</v>
      </c>
      <c r="R32" s="34">
        <v>1.0</v>
      </c>
      <c r="S32" s="11">
        <v>0.0</v>
      </c>
      <c r="T32" s="79">
        <v>13.0</v>
      </c>
      <c r="U32" s="35">
        <v>0.0</v>
      </c>
      <c r="V32" s="35">
        <v>1.0</v>
      </c>
      <c r="W32" s="13">
        <v>0.0</v>
      </c>
      <c r="X32" s="79">
        <v>16.5</v>
      </c>
      <c r="Y32" s="36">
        <v>0.0</v>
      </c>
      <c r="Z32" s="36">
        <v>1.0</v>
      </c>
      <c r="AA32" s="15">
        <v>0.0</v>
      </c>
      <c r="AB32" s="79">
        <v>14.5</v>
      </c>
      <c r="AC32" s="37">
        <v>1.0</v>
      </c>
      <c r="AD32" s="37">
        <v>2.0</v>
      </c>
      <c r="AE32" s="17">
        <v>0.0</v>
      </c>
      <c r="AF32" s="79">
        <v>19.0</v>
      </c>
      <c r="AG32" s="38">
        <v>1.0</v>
      </c>
      <c r="AH32" s="38">
        <v>1.0</v>
      </c>
      <c r="AI32" s="19">
        <v>1.5</v>
      </c>
      <c r="AJ32" s="79">
        <v>19.0</v>
      </c>
      <c r="AK32" s="39">
        <v>0.0</v>
      </c>
      <c r="AL32" s="39">
        <v>0.0</v>
      </c>
      <c r="AM32" s="21">
        <v>1.5</v>
      </c>
      <c r="AN32" s="79">
        <v>15.0</v>
      </c>
    </row>
    <row r="33">
      <c r="A33" s="102">
        <v>30.0</v>
      </c>
      <c r="B33" s="103">
        <v>2.0</v>
      </c>
      <c r="C33" s="103" t="s">
        <v>124</v>
      </c>
      <c r="D33" s="104">
        <v>44893.0</v>
      </c>
      <c r="E33" s="105">
        <v>0.6666666666666666</v>
      </c>
      <c r="F33" s="106"/>
      <c r="G33" s="106" t="s">
        <v>143</v>
      </c>
      <c r="H33" s="107">
        <v>2.0</v>
      </c>
      <c r="I33" s="107">
        <v>3.0</v>
      </c>
      <c r="J33" s="106" t="s">
        <v>48</v>
      </c>
      <c r="K33" s="76"/>
      <c r="L33" s="76"/>
      <c r="M33" s="33">
        <v>2.0</v>
      </c>
      <c r="N33" s="33">
        <v>1.0</v>
      </c>
      <c r="O33" s="8">
        <v>0.0</v>
      </c>
      <c r="P33" s="79">
        <v>17.5</v>
      </c>
      <c r="Q33" s="34">
        <v>1.0</v>
      </c>
      <c r="R33" s="34">
        <v>2.0</v>
      </c>
      <c r="S33" s="11">
        <v>2.0</v>
      </c>
      <c r="T33" s="79">
        <v>15.0</v>
      </c>
      <c r="U33" s="35">
        <v>1.0</v>
      </c>
      <c r="V33" s="35">
        <v>1.0</v>
      </c>
      <c r="W33" s="13">
        <v>0.0</v>
      </c>
      <c r="X33" s="79">
        <v>16.5</v>
      </c>
      <c r="Y33" s="36">
        <v>0.0</v>
      </c>
      <c r="Z33" s="15">
        <v>0.0</v>
      </c>
      <c r="AA33" s="15">
        <v>0.0</v>
      </c>
      <c r="AB33" s="79">
        <v>14.5</v>
      </c>
      <c r="AC33" s="37">
        <v>1.0</v>
      </c>
      <c r="AD33" s="37">
        <v>1.0</v>
      </c>
      <c r="AE33" s="17">
        <v>0.0</v>
      </c>
      <c r="AF33" s="79">
        <v>19.0</v>
      </c>
      <c r="AG33" s="38">
        <v>2.0</v>
      </c>
      <c r="AH33" s="38">
        <v>1.0</v>
      </c>
      <c r="AI33" s="19">
        <v>0.0</v>
      </c>
      <c r="AJ33" s="79">
        <v>19.0</v>
      </c>
      <c r="AK33" s="39">
        <v>0.0</v>
      </c>
      <c r="AL33" s="39">
        <v>1.0</v>
      </c>
      <c r="AM33" s="21">
        <v>2.0</v>
      </c>
      <c r="AN33" s="79">
        <v>17.0</v>
      </c>
    </row>
    <row r="34">
      <c r="A34" s="102">
        <v>31.0</v>
      </c>
      <c r="B34" s="103">
        <v>2.0</v>
      </c>
      <c r="C34" s="103" t="s">
        <v>124</v>
      </c>
      <c r="D34" s="104">
        <v>44893.0</v>
      </c>
      <c r="E34" s="105">
        <v>0.7916666666666666</v>
      </c>
      <c r="F34" s="106"/>
      <c r="G34" s="106" t="s">
        <v>35</v>
      </c>
      <c r="H34" s="107">
        <v>1.0</v>
      </c>
      <c r="I34" s="107">
        <v>0.0</v>
      </c>
      <c r="J34" s="106" t="s">
        <v>141</v>
      </c>
      <c r="K34" s="76"/>
      <c r="L34" s="76"/>
      <c r="M34" s="33">
        <v>1.0</v>
      </c>
      <c r="N34" s="33">
        <v>1.0</v>
      </c>
      <c r="O34" s="8">
        <v>0.0</v>
      </c>
      <c r="P34" s="79">
        <v>17.5</v>
      </c>
      <c r="Q34" s="34">
        <v>2.0</v>
      </c>
      <c r="R34" s="34">
        <v>0.0</v>
      </c>
      <c r="S34" s="11">
        <v>1.0</v>
      </c>
      <c r="T34" s="79">
        <v>16.0</v>
      </c>
      <c r="U34" s="35">
        <v>2.0</v>
      </c>
      <c r="V34" s="35">
        <v>0.0</v>
      </c>
      <c r="W34" s="13">
        <v>1.0</v>
      </c>
      <c r="X34" s="79">
        <v>17.5</v>
      </c>
      <c r="Y34" s="36">
        <v>2.0</v>
      </c>
      <c r="Z34" s="36">
        <v>1.0</v>
      </c>
      <c r="AA34" s="15">
        <v>2.0</v>
      </c>
      <c r="AB34" s="79">
        <v>16.5</v>
      </c>
      <c r="AC34" s="37">
        <v>2.0</v>
      </c>
      <c r="AD34" s="37">
        <v>1.0</v>
      </c>
      <c r="AE34" s="17">
        <v>2.0</v>
      </c>
      <c r="AF34" s="79">
        <v>21.0</v>
      </c>
      <c r="AG34" s="38">
        <v>2.0</v>
      </c>
      <c r="AH34" s="38">
        <v>1.0</v>
      </c>
      <c r="AI34" s="19">
        <v>2.0</v>
      </c>
      <c r="AJ34" s="79">
        <v>21.0</v>
      </c>
      <c r="AK34" s="39">
        <v>3.0</v>
      </c>
      <c r="AL34" s="39">
        <v>1.0</v>
      </c>
      <c r="AM34" s="21">
        <v>1.0</v>
      </c>
      <c r="AN34" s="79">
        <v>18.0</v>
      </c>
    </row>
    <row r="35">
      <c r="A35" s="108">
        <v>32.0</v>
      </c>
      <c r="B35" s="109">
        <v>2.0</v>
      </c>
      <c r="C35" s="109" t="s">
        <v>124</v>
      </c>
      <c r="D35" s="110">
        <v>44893.0</v>
      </c>
      <c r="E35" s="111">
        <v>0.9166666666666666</v>
      </c>
      <c r="F35" s="112"/>
      <c r="G35" s="112" t="s">
        <v>58</v>
      </c>
      <c r="H35" s="113">
        <v>2.0</v>
      </c>
      <c r="I35" s="113">
        <v>0.0</v>
      </c>
      <c r="J35" s="112" t="s">
        <v>49</v>
      </c>
      <c r="K35" s="23"/>
      <c r="L35" s="23"/>
      <c r="M35" s="44">
        <v>3.0</v>
      </c>
      <c r="N35" s="44">
        <v>1.0</v>
      </c>
      <c r="O35" s="58">
        <v>2.0</v>
      </c>
      <c r="P35" s="89">
        <v>19.5</v>
      </c>
      <c r="Q35" s="45">
        <v>1.0</v>
      </c>
      <c r="R35" s="45">
        <v>0.0</v>
      </c>
      <c r="S35" s="60">
        <v>1.0</v>
      </c>
      <c r="T35" s="89">
        <v>17.0</v>
      </c>
      <c r="U35" s="46">
        <v>3.0</v>
      </c>
      <c r="V35" s="46">
        <v>1.0</v>
      </c>
      <c r="W35" s="62">
        <v>2.0</v>
      </c>
      <c r="X35" s="89">
        <v>19.5</v>
      </c>
      <c r="Y35" s="47">
        <v>3.0</v>
      </c>
      <c r="Z35" s="47">
        <v>1.0</v>
      </c>
      <c r="AA35" s="64">
        <v>2.0</v>
      </c>
      <c r="AB35" s="89">
        <v>18.5</v>
      </c>
      <c r="AC35" s="48">
        <v>1.0</v>
      </c>
      <c r="AD35" s="48">
        <v>1.0</v>
      </c>
      <c r="AE35" s="66">
        <v>0.0</v>
      </c>
      <c r="AF35" s="89">
        <v>21.0</v>
      </c>
      <c r="AG35" s="49">
        <v>1.0</v>
      </c>
      <c r="AH35" s="49">
        <v>1.0</v>
      </c>
      <c r="AI35" s="68">
        <v>0.0</v>
      </c>
      <c r="AJ35" s="89">
        <v>21.0</v>
      </c>
      <c r="AK35" s="50">
        <v>1.0</v>
      </c>
      <c r="AL35" s="50">
        <v>1.0</v>
      </c>
      <c r="AM35" s="70">
        <v>0.0</v>
      </c>
      <c r="AN35" s="89">
        <v>18.0</v>
      </c>
    </row>
    <row r="36">
      <c r="A36" s="102"/>
      <c r="B36" s="103"/>
      <c r="C36" s="103"/>
      <c r="D36" s="104"/>
      <c r="E36" s="105"/>
      <c r="F36" s="122"/>
      <c r="G36" s="122"/>
      <c r="H36" s="123"/>
      <c r="I36" s="123"/>
      <c r="J36" s="122"/>
      <c r="K36" s="124"/>
      <c r="L36" s="120"/>
      <c r="M36" s="125"/>
      <c r="N36" s="125"/>
      <c r="O36" s="121">
        <v>8.5</v>
      </c>
      <c r="P36" s="79">
        <v>19.5</v>
      </c>
      <c r="Q36" s="4"/>
      <c r="R36" s="4"/>
      <c r="S36" s="121">
        <v>8.0</v>
      </c>
      <c r="T36" s="79">
        <v>17.0</v>
      </c>
      <c r="U36" s="4"/>
      <c r="V36" s="4"/>
      <c r="W36" s="121">
        <v>8.0</v>
      </c>
      <c r="X36" s="79">
        <v>19.5</v>
      </c>
      <c r="Y36" s="4"/>
      <c r="Z36" s="4"/>
      <c r="AA36" s="121">
        <v>10.5</v>
      </c>
      <c r="AB36" s="79">
        <v>18.5</v>
      </c>
      <c r="AC36" s="4"/>
      <c r="AD36" s="4"/>
      <c r="AE36" s="121">
        <v>9.0</v>
      </c>
      <c r="AF36" s="79">
        <v>21.0</v>
      </c>
      <c r="AG36" s="4"/>
      <c r="AH36" s="4"/>
      <c r="AI36" s="121">
        <v>10.5</v>
      </c>
      <c r="AJ36" s="79">
        <v>21.0</v>
      </c>
      <c r="AK36" s="4"/>
      <c r="AL36" s="4"/>
      <c r="AM36" s="121">
        <v>9.0</v>
      </c>
      <c r="AN36" s="79">
        <v>18.0</v>
      </c>
    </row>
    <row r="37">
      <c r="A37" s="102">
        <v>33.0</v>
      </c>
      <c r="B37" s="103">
        <v>3.0</v>
      </c>
      <c r="C37" s="103" t="s">
        <v>129</v>
      </c>
      <c r="D37" s="104">
        <v>44894.0</v>
      </c>
      <c r="E37" s="105">
        <v>0.75</v>
      </c>
      <c r="F37" s="106"/>
      <c r="G37" s="106" t="s">
        <v>123</v>
      </c>
      <c r="H37" s="107">
        <v>1.0</v>
      </c>
      <c r="I37" s="107">
        <v>2.0</v>
      </c>
      <c r="J37" s="106" t="s">
        <v>125</v>
      </c>
      <c r="K37" s="126"/>
      <c r="L37" s="76"/>
      <c r="M37" s="33">
        <v>2.0</v>
      </c>
      <c r="N37" s="33">
        <v>1.0</v>
      </c>
      <c r="O37" s="8">
        <v>0.0</v>
      </c>
      <c r="P37" s="79">
        <v>19.5</v>
      </c>
      <c r="Q37" s="34">
        <v>2.0</v>
      </c>
      <c r="R37" s="34">
        <v>1.0</v>
      </c>
      <c r="S37" s="11">
        <v>0.0</v>
      </c>
      <c r="T37" s="79">
        <v>17.0</v>
      </c>
      <c r="U37" s="35">
        <v>2.0</v>
      </c>
      <c r="V37" s="35">
        <v>2.0</v>
      </c>
      <c r="W37" s="13">
        <v>0.0</v>
      </c>
      <c r="X37" s="79">
        <v>19.5</v>
      </c>
      <c r="Y37" s="36">
        <v>1.0</v>
      </c>
      <c r="Z37" s="36">
        <v>2.0</v>
      </c>
      <c r="AA37" s="15">
        <v>3.0</v>
      </c>
      <c r="AB37" s="79">
        <v>21.5</v>
      </c>
      <c r="AC37" s="37">
        <v>2.0</v>
      </c>
      <c r="AD37" s="37">
        <v>1.0</v>
      </c>
      <c r="AE37" s="17">
        <v>0.0</v>
      </c>
      <c r="AF37" s="79">
        <v>21.0</v>
      </c>
      <c r="AG37" s="38">
        <v>1.0</v>
      </c>
      <c r="AH37" s="38">
        <v>2.0</v>
      </c>
      <c r="AI37" s="19">
        <v>3.0</v>
      </c>
      <c r="AJ37" s="79">
        <v>24.0</v>
      </c>
      <c r="AK37" s="39">
        <v>1.0</v>
      </c>
      <c r="AL37" s="39">
        <v>1.0</v>
      </c>
      <c r="AM37" s="21">
        <v>0.0</v>
      </c>
      <c r="AN37" s="79">
        <v>18.0</v>
      </c>
    </row>
    <row r="38">
      <c r="A38" s="102">
        <v>34.0</v>
      </c>
      <c r="B38" s="103">
        <v>3.0</v>
      </c>
      <c r="C38" s="103" t="s">
        <v>129</v>
      </c>
      <c r="D38" s="104">
        <v>44894.0</v>
      </c>
      <c r="E38" s="105">
        <v>0.75</v>
      </c>
      <c r="F38" s="106"/>
      <c r="G38" s="106" t="s">
        <v>79</v>
      </c>
      <c r="H38" s="107">
        <v>2.0</v>
      </c>
      <c r="I38" s="107">
        <v>0.0</v>
      </c>
      <c r="J38" s="106" t="s">
        <v>122</v>
      </c>
      <c r="K38" s="76"/>
      <c r="L38" s="76"/>
      <c r="M38" s="33">
        <v>4.0</v>
      </c>
      <c r="N38" s="33">
        <v>0.0</v>
      </c>
      <c r="O38" s="8">
        <v>1.0</v>
      </c>
      <c r="P38" s="79">
        <v>20.5</v>
      </c>
      <c r="Q38" s="34">
        <v>3.0</v>
      </c>
      <c r="R38" s="34">
        <v>0.0</v>
      </c>
      <c r="S38" s="11">
        <v>1.0</v>
      </c>
      <c r="T38" s="79">
        <v>18.0</v>
      </c>
      <c r="U38" s="35">
        <v>4.0</v>
      </c>
      <c r="V38" s="35">
        <v>0.0</v>
      </c>
      <c r="W38" s="13">
        <v>1.0</v>
      </c>
      <c r="X38" s="79">
        <v>20.5</v>
      </c>
      <c r="Y38" s="36">
        <v>2.0</v>
      </c>
      <c r="Z38" s="36">
        <v>0.0</v>
      </c>
      <c r="AA38" s="15">
        <v>3.0</v>
      </c>
      <c r="AB38" s="79">
        <v>24.5</v>
      </c>
      <c r="AC38" s="37">
        <v>3.0</v>
      </c>
      <c r="AD38" s="37">
        <v>0.0</v>
      </c>
      <c r="AE38" s="17">
        <v>1.0</v>
      </c>
      <c r="AF38" s="79">
        <v>22.0</v>
      </c>
      <c r="AG38" s="38">
        <v>2.0</v>
      </c>
      <c r="AH38" s="38">
        <v>0.0</v>
      </c>
      <c r="AI38" s="19">
        <v>3.0</v>
      </c>
      <c r="AJ38" s="79">
        <v>27.0</v>
      </c>
      <c r="AK38" s="39">
        <v>3.0</v>
      </c>
      <c r="AL38" s="39">
        <v>0.0</v>
      </c>
      <c r="AM38" s="21">
        <v>1.0</v>
      </c>
      <c r="AN38" s="79">
        <v>19.0</v>
      </c>
    </row>
    <row r="39">
      <c r="A39" s="102">
        <v>35.0</v>
      </c>
      <c r="B39" s="103">
        <v>3.0</v>
      </c>
      <c r="C39" s="103" t="s">
        <v>129</v>
      </c>
      <c r="D39" s="104">
        <v>44894.0</v>
      </c>
      <c r="E39" s="105">
        <v>0.9166666666666666</v>
      </c>
      <c r="F39" s="106"/>
      <c r="G39" s="106" t="s">
        <v>128</v>
      </c>
      <c r="H39" s="107">
        <v>0.0</v>
      </c>
      <c r="I39" s="107">
        <v>3.0</v>
      </c>
      <c r="J39" s="106" t="s">
        <v>61</v>
      </c>
      <c r="K39" s="76"/>
      <c r="L39" s="76"/>
      <c r="M39" s="33">
        <v>1.0</v>
      </c>
      <c r="N39" s="33">
        <v>3.0</v>
      </c>
      <c r="O39" s="8">
        <v>1.0</v>
      </c>
      <c r="P39" s="79">
        <v>21.5</v>
      </c>
      <c r="Q39" s="34">
        <v>0.0</v>
      </c>
      <c r="R39" s="34">
        <v>2.0</v>
      </c>
      <c r="S39" s="11">
        <v>1.0</v>
      </c>
      <c r="T39" s="79">
        <v>19.0</v>
      </c>
      <c r="U39" s="35">
        <v>1.0</v>
      </c>
      <c r="V39" s="35">
        <v>3.0</v>
      </c>
      <c r="W39" s="13">
        <v>1.0</v>
      </c>
      <c r="X39" s="79">
        <v>21.5</v>
      </c>
      <c r="Y39" s="36">
        <v>1.0</v>
      </c>
      <c r="Z39" s="36">
        <v>1.0</v>
      </c>
      <c r="AA39" s="15">
        <v>0.0</v>
      </c>
      <c r="AB39" s="79">
        <v>24.5</v>
      </c>
      <c r="AC39" s="37">
        <v>1.0</v>
      </c>
      <c r="AD39" s="37">
        <v>2.0</v>
      </c>
      <c r="AE39" s="17">
        <v>1.0</v>
      </c>
      <c r="AF39" s="79">
        <v>23.0</v>
      </c>
      <c r="AG39" s="38">
        <v>1.0</v>
      </c>
      <c r="AH39" s="38">
        <v>1.0</v>
      </c>
      <c r="AI39" s="19">
        <v>0.0</v>
      </c>
      <c r="AJ39" s="79">
        <v>27.0</v>
      </c>
      <c r="AK39" s="39">
        <v>0.0</v>
      </c>
      <c r="AL39" s="39">
        <v>4.0</v>
      </c>
      <c r="AM39" s="21">
        <v>1.0</v>
      </c>
      <c r="AN39" s="79">
        <v>20.0</v>
      </c>
    </row>
    <row r="40">
      <c r="A40" s="102">
        <v>36.0</v>
      </c>
      <c r="B40" s="103">
        <v>3.0</v>
      </c>
      <c r="C40" s="103" t="s">
        <v>129</v>
      </c>
      <c r="D40" s="104">
        <v>44894.0</v>
      </c>
      <c r="E40" s="105">
        <v>0.9166666666666666</v>
      </c>
      <c r="F40" s="106"/>
      <c r="G40" s="106" t="s">
        <v>126</v>
      </c>
      <c r="H40" s="107">
        <v>0.0</v>
      </c>
      <c r="I40" s="107">
        <v>1.0</v>
      </c>
      <c r="J40" s="106" t="s">
        <v>127</v>
      </c>
      <c r="K40" s="76"/>
      <c r="L40" s="76"/>
      <c r="M40" s="33">
        <v>1.0</v>
      </c>
      <c r="N40" s="33">
        <v>0.0</v>
      </c>
      <c r="O40" s="8">
        <v>0.0</v>
      </c>
      <c r="P40" s="79">
        <v>21.5</v>
      </c>
      <c r="Q40" s="34">
        <v>2.0</v>
      </c>
      <c r="R40" s="34">
        <v>1.0</v>
      </c>
      <c r="S40" s="11">
        <v>0.0</v>
      </c>
      <c r="T40" s="79">
        <v>19.0</v>
      </c>
      <c r="U40" s="35">
        <v>1.0</v>
      </c>
      <c r="V40" s="35">
        <v>2.0</v>
      </c>
      <c r="W40" s="13">
        <v>2.0</v>
      </c>
      <c r="X40" s="79">
        <v>23.5</v>
      </c>
      <c r="Y40" s="36">
        <v>1.0</v>
      </c>
      <c r="Z40" s="36">
        <v>1.0</v>
      </c>
      <c r="AA40" s="15">
        <v>0.0</v>
      </c>
      <c r="AB40" s="79">
        <v>24.5</v>
      </c>
      <c r="AC40" s="37">
        <v>2.0</v>
      </c>
      <c r="AD40" s="37">
        <v>1.0</v>
      </c>
      <c r="AE40" s="17">
        <v>0.0</v>
      </c>
      <c r="AF40" s="79">
        <v>23.0</v>
      </c>
      <c r="AG40" s="38">
        <v>2.0</v>
      </c>
      <c r="AH40" s="38">
        <v>3.0</v>
      </c>
      <c r="AI40" s="19">
        <v>2.0</v>
      </c>
      <c r="AJ40" s="79">
        <v>29.0</v>
      </c>
      <c r="AK40" s="39">
        <v>0.0</v>
      </c>
      <c r="AL40" s="39">
        <v>3.0</v>
      </c>
      <c r="AM40" s="21">
        <v>1.0</v>
      </c>
      <c r="AN40" s="79">
        <v>21.0</v>
      </c>
    </row>
    <row r="41">
      <c r="A41" s="102">
        <v>37.0</v>
      </c>
      <c r="B41" s="103">
        <v>3.0</v>
      </c>
      <c r="C41" s="103" t="s">
        <v>134</v>
      </c>
      <c r="D41" s="104">
        <v>44895.0</v>
      </c>
      <c r="E41" s="105">
        <v>0.75</v>
      </c>
      <c r="F41" s="106"/>
      <c r="G41" s="106" t="s">
        <v>133</v>
      </c>
      <c r="H41" s="107">
        <v>1.0</v>
      </c>
      <c r="I41" s="107">
        <v>0.0</v>
      </c>
      <c r="J41" s="106" t="s">
        <v>57</v>
      </c>
      <c r="K41" s="76"/>
      <c r="L41" s="76"/>
      <c r="M41" s="33">
        <v>0.0</v>
      </c>
      <c r="N41" s="33">
        <v>1.0</v>
      </c>
      <c r="O41" s="8">
        <v>0.0</v>
      </c>
      <c r="P41" s="79">
        <v>21.5</v>
      </c>
      <c r="Q41" s="34">
        <v>1.0</v>
      </c>
      <c r="R41" s="34">
        <v>2.0</v>
      </c>
      <c r="S41" s="11">
        <v>0.0</v>
      </c>
      <c r="T41" s="79">
        <v>19.0</v>
      </c>
      <c r="U41" s="35">
        <v>0.0</v>
      </c>
      <c r="V41" s="35">
        <v>2.0</v>
      </c>
      <c r="W41" s="13">
        <v>0.0</v>
      </c>
      <c r="X41" s="79">
        <v>23.5</v>
      </c>
      <c r="Y41" s="36">
        <v>1.0</v>
      </c>
      <c r="Z41" s="36">
        <v>2.0</v>
      </c>
      <c r="AA41" s="15">
        <v>0.0</v>
      </c>
      <c r="AB41" s="79">
        <v>24.5</v>
      </c>
      <c r="AC41" s="37">
        <v>0.0</v>
      </c>
      <c r="AD41" s="37">
        <v>2.0</v>
      </c>
      <c r="AE41" s="17">
        <v>0.0</v>
      </c>
      <c r="AF41" s="79">
        <v>23.0</v>
      </c>
      <c r="AG41" s="38">
        <v>1.0</v>
      </c>
      <c r="AH41" s="38">
        <v>1.0</v>
      </c>
      <c r="AI41" s="19">
        <v>0.0</v>
      </c>
      <c r="AJ41" s="79">
        <v>29.0</v>
      </c>
      <c r="AK41" s="39">
        <v>2.0</v>
      </c>
      <c r="AL41" s="39">
        <v>2.0</v>
      </c>
      <c r="AM41" s="21">
        <v>0.0</v>
      </c>
      <c r="AN41" s="79">
        <v>21.0</v>
      </c>
    </row>
    <row r="42">
      <c r="A42" s="102">
        <v>38.0</v>
      </c>
      <c r="B42" s="103">
        <v>3.0</v>
      </c>
      <c r="C42" s="103" t="s">
        <v>134</v>
      </c>
      <c r="D42" s="104">
        <v>44895.0</v>
      </c>
      <c r="E42" s="105">
        <v>0.75</v>
      </c>
      <c r="F42" s="106"/>
      <c r="G42" s="106" t="s">
        <v>131</v>
      </c>
      <c r="H42" s="107">
        <v>1.0</v>
      </c>
      <c r="I42" s="107">
        <v>0.0</v>
      </c>
      <c r="J42" s="106" t="s">
        <v>36</v>
      </c>
      <c r="K42" s="76"/>
      <c r="L42" s="76"/>
      <c r="M42" s="33">
        <v>0.0</v>
      </c>
      <c r="N42" s="33">
        <v>2.0</v>
      </c>
      <c r="O42" s="8">
        <v>0.0</v>
      </c>
      <c r="P42" s="79">
        <v>21.5</v>
      </c>
      <c r="Q42" s="34">
        <v>0.0</v>
      </c>
      <c r="R42" s="34">
        <v>2.0</v>
      </c>
      <c r="S42" s="11">
        <v>0.0</v>
      </c>
      <c r="T42" s="79">
        <v>19.0</v>
      </c>
      <c r="U42" s="35">
        <v>1.0</v>
      </c>
      <c r="V42" s="35">
        <v>4.0</v>
      </c>
      <c r="W42" s="13">
        <v>0.0</v>
      </c>
      <c r="X42" s="79">
        <v>23.5</v>
      </c>
      <c r="Y42" s="36">
        <v>1.0</v>
      </c>
      <c r="Z42" s="36">
        <v>2.0</v>
      </c>
      <c r="AA42" s="15">
        <v>0.0</v>
      </c>
      <c r="AB42" s="79">
        <v>24.5</v>
      </c>
      <c r="AC42" s="37">
        <v>1.0</v>
      </c>
      <c r="AD42" s="37">
        <v>3.0</v>
      </c>
      <c r="AE42" s="17">
        <v>0.0</v>
      </c>
      <c r="AF42" s="79">
        <v>23.0</v>
      </c>
      <c r="AG42" s="38">
        <v>2.0</v>
      </c>
      <c r="AH42" s="38">
        <v>2.0</v>
      </c>
      <c r="AI42" s="19">
        <v>0.0</v>
      </c>
      <c r="AJ42" s="79">
        <v>29.0</v>
      </c>
      <c r="AK42" s="39">
        <v>1.0</v>
      </c>
      <c r="AL42" s="39">
        <v>3.0</v>
      </c>
      <c r="AM42" s="21">
        <v>0.0</v>
      </c>
      <c r="AN42" s="79">
        <v>21.0</v>
      </c>
    </row>
    <row r="43">
      <c r="A43" s="102">
        <v>39.0</v>
      </c>
      <c r="B43" s="103">
        <v>3.0</v>
      </c>
      <c r="C43" s="103" t="s">
        <v>134</v>
      </c>
      <c r="D43" s="104">
        <v>44895.0</v>
      </c>
      <c r="E43" s="105">
        <v>0.9166666666666666</v>
      </c>
      <c r="F43" s="106"/>
      <c r="G43" s="106" t="s">
        <v>132</v>
      </c>
      <c r="H43" s="107">
        <v>0.0</v>
      </c>
      <c r="I43" s="107">
        <v>2.0</v>
      </c>
      <c r="J43" s="106" t="s">
        <v>76</v>
      </c>
      <c r="K43" s="76"/>
      <c r="L43" s="76"/>
      <c r="M43" s="33">
        <v>1.0</v>
      </c>
      <c r="N43" s="33">
        <v>1.0</v>
      </c>
      <c r="O43" s="8">
        <v>0.0</v>
      </c>
      <c r="P43" s="79">
        <v>21.5</v>
      </c>
      <c r="Q43" s="34">
        <v>1.0</v>
      </c>
      <c r="R43" s="34">
        <v>0.0</v>
      </c>
      <c r="S43" s="11">
        <v>0.0</v>
      </c>
      <c r="T43" s="79">
        <v>19.0</v>
      </c>
      <c r="U43" s="35">
        <v>1.0</v>
      </c>
      <c r="V43" s="35">
        <v>2.0</v>
      </c>
      <c r="W43" s="13">
        <v>1.0</v>
      </c>
      <c r="X43" s="79">
        <v>24.5</v>
      </c>
      <c r="Y43" s="36">
        <v>1.0</v>
      </c>
      <c r="Z43" s="36">
        <v>2.0</v>
      </c>
      <c r="AA43" s="15">
        <v>1.0</v>
      </c>
      <c r="AB43" s="79">
        <v>25.5</v>
      </c>
      <c r="AC43" s="37">
        <v>1.0</v>
      </c>
      <c r="AD43" s="37">
        <v>1.0</v>
      </c>
      <c r="AE43" s="17">
        <v>0.0</v>
      </c>
      <c r="AF43" s="79">
        <v>23.0</v>
      </c>
      <c r="AG43" s="38">
        <v>1.0</v>
      </c>
      <c r="AH43" s="38">
        <v>3.0</v>
      </c>
      <c r="AI43" s="19">
        <v>2.0</v>
      </c>
      <c r="AJ43" s="79">
        <v>31.0</v>
      </c>
      <c r="AK43" s="39">
        <v>1.0</v>
      </c>
      <c r="AL43" s="39">
        <v>1.0</v>
      </c>
      <c r="AM43" s="21">
        <v>0.0</v>
      </c>
      <c r="AN43" s="79">
        <v>21.0</v>
      </c>
    </row>
    <row r="44">
      <c r="A44" s="102">
        <v>40.0</v>
      </c>
      <c r="B44" s="103">
        <v>3.0</v>
      </c>
      <c r="C44" s="103" t="s">
        <v>134</v>
      </c>
      <c r="D44" s="104">
        <v>44895.0</v>
      </c>
      <c r="E44" s="105">
        <v>0.9166666666666666</v>
      </c>
      <c r="F44" s="106"/>
      <c r="G44" s="106" t="s">
        <v>130</v>
      </c>
      <c r="H44" s="107">
        <v>1.0</v>
      </c>
      <c r="I44" s="107">
        <v>2.0</v>
      </c>
      <c r="J44" s="106" t="s">
        <v>47</v>
      </c>
      <c r="K44" s="76"/>
      <c r="L44" s="76"/>
      <c r="M44" s="33">
        <v>1.0</v>
      </c>
      <c r="N44" s="33">
        <v>0.0</v>
      </c>
      <c r="O44" s="8">
        <v>0.0</v>
      </c>
      <c r="P44" s="79">
        <v>21.5</v>
      </c>
      <c r="Q44" s="34">
        <v>1.0</v>
      </c>
      <c r="R44" s="34">
        <v>1.0</v>
      </c>
      <c r="S44" s="11">
        <v>0.0</v>
      </c>
      <c r="T44" s="79">
        <v>19.0</v>
      </c>
      <c r="U44" s="35">
        <v>2.0</v>
      </c>
      <c r="V44" s="35">
        <v>2.0</v>
      </c>
      <c r="W44" s="13">
        <v>0.0</v>
      </c>
      <c r="X44" s="79">
        <v>24.5</v>
      </c>
      <c r="Y44" s="36">
        <v>1.0</v>
      </c>
      <c r="Z44" s="36">
        <v>2.0</v>
      </c>
      <c r="AA44" s="15">
        <v>3.0</v>
      </c>
      <c r="AB44" s="79">
        <v>28.5</v>
      </c>
      <c r="AC44" s="37">
        <v>1.0</v>
      </c>
      <c r="AD44" s="37">
        <v>0.0</v>
      </c>
      <c r="AE44" s="17">
        <v>0.0</v>
      </c>
      <c r="AF44" s="79">
        <v>23.0</v>
      </c>
      <c r="AG44" s="38">
        <v>1.0</v>
      </c>
      <c r="AH44" s="38">
        <v>2.0</v>
      </c>
      <c r="AI44" s="19">
        <v>3.0</v>
      </c>
      <c r="AJ44" s="79">
        <v>34.0</v>
      </c>
      <c r="AK44" s="39">
        <v>1.0</v>
      </c>
      <c r="AL44" s="39">
        <v>2.0</v>
      </c>
      <c r="AM44" s="21">
        <v>3.0</v>
      </c>
      <c r="AN44" s="79">
        <v>24.0</v>
      </c>
    </row>
    <row r="45">
      <c r="A45" s="102">
        <v>41.0</v>
      </c>
      <c r="B45" s="103">
        <v>3.0</v>
      </c>
      <c r="C45" s="103" t="s">
        <v>140</v>
      </c>
      <c r="D45" s="104">
        <v>44896.0</v>
      </c>
      <c r="E45" s="105">
        <v>0.75</v>
      </c>
      <c r="F45" s="106"/>
      <c r="G45" s="106" t="s">
        <v>136</v>
      </c>
      <c r="H45" s="107">
        <v>0.0</v>
      </c>
      <c r="I45" s="107">
        <v>0.0</v>
      </c>
      <c r="J45" s="106" t="s">
        <v>138</v>
      </c>
      <c r="K45" s="76"/>
      <c r="L45" s="76"/>
      <c r="M45" s="33">
        <v>2.0</v>
      </c>
      <c r="N45" s="33">
        <v>0.0</v>
      </c>
      <c r="O45" s="8">
        <v>0.0</v>
      </c>
      <c r="P45" s="79">
        <v>21.5</v>
      </c>
      <c r="Q45" s="34">
        <v>1.0</v>
      </c>
      <c r="R45" s="34">
        <v>2.0</v>
      </c>
      <c r="S45" s="11">
        <v>0.0</v>
      </c>
      <c r="T45" s="79">
        <v>19.0</v>
      </c>
      <c r="U45" s="35">
        <v>2.0</v>
      </c>
      <c r="V45" s="35">
        <v>1.0</v>
      </c>
      <c r="W45" s="13">
        <v>0.0</v>
      </c>
      <c r="X45" s="79">
        <v>24.5</v>
      </c>
      <c r="Y45" s="36">
        <v>2.0</v>
      </c>
      <c r="Z45" s="36">
        <v>2.0</v>
      </c>
      <c r="AA45" s="15">
        <v>1.5</v>
      </c>
      <c r="AB45" s="79">
        <v>30.0</v>
      </c>
      <c r="AC45" s="37">
        <v>2.0</v>
      </c>
      <c r="AD45" s="37">
        <v>1.0</v>
      </c>
      <c r="AE45" s="17">
        <v>0.0</v>
      </c>
      <c r="AF45" s="79">
        <v>23.0</v>
      </c>
      <c r="AG45" s="38">
        <v>1.0</v>
      </c>
      <c r="AH45" s="38">
        <v>3.0</v>
      </c>
      <c r="AI45" s="19">
        <v>0.0</v>
      </c>
      <c r="AJ45" s="79">
        <v>34.0</v>
      </c>
      <c r="AK45" s="39">
        <v>1.0</v>
      </c>
      <c r="AL45" s="39">
        <v>1.0</v>
      </c>
      <c r="AM45" s="21">
        <v>1.5</v>
      </c>
      <c r="AN45" s="79">
        <v>25.5</v>
      </c>
    </row>
    <row r="46">
      <c r="A46" s="102">
        <v>42.0</v>
      </c>
      <c r="B46" s="103">
        <v>3.0</v>
      </c>
      <c r="C46" s="103" t="s">
        <v>140</v>
      </c>
      <c r="D46" s="104">
        <v>44896.0</v>
      </c>
      <c r="E46" s="105">
        <v>0.75</v>
      </c>
      <c r="F46" s="106"/>
      <c r="G46" s="106" t="s">
        <v>139</v>
      </c>
      <c r="H46" s="107">
        <v>1.0</v>
      </c>
      <c r="I46" s="107">
        <v>2.0</v>
      </c>
      <c r="J46" s="106" t="s">
        <v>135</v>
      </c>
      <c r="K46" s="76"/>
      <c r="L46" s="76"/>
      <c r="M46" s="33">
        <v>1.0</v>
      </c>
      <c r="N46" s="33">
        <v>0.0</v>
      </c>
      <c r="O46" s="8">
        <v>0.0</v>
      </c>
      <c r="P46" s="79">
        <v>21.5</v>
      </c>
      <c r="Q46" s="34">
        <v>0.0</v>
      </c>
      <c r="R46" s="34">
        <v>2.0</v>
      </c>
      <c r="S46" s="11">
        <v>1.0</v>
      </c>
      <c r="T46" s="79">
        <v>20.0</v>
      </c>
      <c r="U46" s="35">
        <v>0.0</v>
      </c>
      <c r="V46" s="35">
        <v>1.0</v>
      </c>
      <c r="W46" s="13">
        <v>2.0</v>
      </c>
      <c r="X46" s="79">
        <v>26.5</v>
      </c>
      <c r="Y46" s="36">
        <v>0.0</v>
      </c>
      <c r="Z46" s="36">
        <v>2.0</v>
      </c>
      <c r="AA46" s="15">
        <v>1.0</v>
      </c>
      <c r="AB46" s="79">
        <v>31.0</v>
      </c>
      <c r="AC46" s="37">
        <v>1.0</v>
      </c>
      <c r="AD46" s="37">
        <v>2.0</v>
      </c>
      <c r="AE46" s="17">
        <v>3.0</v>
      </c>
      <c r="AF46" s="79">
        <v>26.0</v>
      </c>
      <c r="AG46" s="38">
        <v>2.0</v>
      </c>
      <c r="AH46" s="38">
        <v>1.0</v>
      </c>
      <c r="AI46" s="19">
        <v>0.0</v>
      </c>
      <c r="AJ46" s="79">
        <v>34.0</v>
      </c>
      <c r="AK46" s="39">
        <v>1.0</v>
      </c>
      <c r="AL46" s="39">
        <v>2.0</v>
      </c>
      <c r="AM46" s="21">
        <v>3.0</v>
      </c>
      <c r="AN46" s="79">
        <v>28.5</v>
      </c>
    </row>
    <row r="47">
      <c r="A47" s="102">
        <v>43.0</v>
      </c>
      <c r="B47" s="103">
        <v>3.0</v>
      </c>
      <c r="C47" s="103" t="s">
        <v>140</v>
      </c>
      <c r="D47" s="104">
        <v>44896.0</v>
      </c>
      <c r="E47" s="105">
        <v>0.9166666666666666</v>
      </c>
      <c r="F47" s="106"/>
      <c r="G47" s="106" t="s">
        <v>34</v>
      </c>
      <c r="H47" s="107">
        <v>2.0</v>
      </c>
      <c r="I47" s="107">
        <v>1.0</v>
      </c>
      <c r="J47" s="106" t="s">
        <v>50</v>
      </c>
      <c r="K47" s="76"/>
      <c r="L47" s="76"/>
      <c r="M47" s="33">
        <v>0.0</v>
      </c>
      <c r="N47" s="33">
        <v>3.0</v>
      </c>
      <c r="O47" s="8">
        <v>0.0</v>
      </c>
      <c r="P47" s="79">
        <v>21.5</v>
      </c>
      <c r="Q47" s="34">
        <v>0.0</v>
      </c>
      <c r="R47" s="34">
        <v>2.0</v>
      </c>
      <c r="S47" s="11">
        <v>0.0</v>
      </c>
      <c r="T47" s="79">
        <v>20.0</v>
      </c>
      <c r="U47" s="35">
        <v>1.0</v>
      </c>
      <c r="V47" s="35">
        <v>4.0</v>
      </c>
      <c r="W47" s="13">
        <v>0.0</v>
      </c>
      <c r="X47" s="79">
        <v>26.5</v>
      </c>
      <c r="Y47" s="36">
        <v>1.0</v>
      </c>
      <c r="Z47" s="36">
        <v>4.0</v>
      </c>
      <c r="AA47" s="15">
        <v>0.0</v>
      </c>
      <c r="AB47" s="79">
        <v>31.0</v>
      </c>
      <c r="AC47" s="37">
        <v>0.0</v>
      </c>
      <c r="AD47" s="37">
        <v>2.0</v>
      </c>
      <c r="AE47" s="17">
        <v>0.0</v>
      </c>
      <c r="AF47" s="79">
        <v>26.0</v>
      </c>
      <c r="AG47" s="38">
        <v>1.0</v>
      </c>
      <c r="AH47" s="38">
        <v>1.0</v>
      </c>
      <c r="AI47" s="19">
        <v>0.0</v>
      </c>
      <c r="AJ47" s="79">
        <v>34.0</v>
      </c>
      <c r="AK47" s="39">
        <v>1.0</v>
      </c>
      <c r="AL47" s="39">
        <v>2.0</v>
      </c>
      <c r="AM47" s="21">
        <v>0.0</v>
      </c>
      <c r="AN47" s="79">
        <v>28.5</v>
      </c>
    </row>
    <row r="48">
      <c r="A48" s="102">
        <v>44.0</v>
      </c>
      <c r="B48" s="103">
        <v>3.0</v>
      </c>
      <c r="C48" s="103" t="s">
        <v>140</v>
      </c>
      <c r="D48" s="104">
        <v>44896.0</v>
      </c>
      <c r="E48" s="105">
        <v>0.9166666666666666</v>
      </c>
      <c r="F48" s="106"/>
      <c r="G48" s="106" t="s">
        <v>137</v>
      </c>
      <c r="H48" s="107">
        <v>2.0</v>
      </c>
      <c r="I48" s="107">
        <v>4.0</v>
      </c>
      <c r="J48" s="106" t="s">
        <v>37</v>
      </c>
      <c r="K48" s="76"/>
      <c r="L48" s="76"/>
      <c r="M48" s="33">
        <v>1.0</v>
      </c>
      <c r="N48" s="33">
        <v>1.0</v>
      </c>
      <c r="O48" s="8">
        <v>0.0</v>
      </c>
      <c r="P48" s="79">
        <v>21.5</v>
      </c>
      <c r="Q48" s="34">
        <v>0.0</v>
      </c>
      <c r="R48" s="34">
        <v>0.0</v>
      </c>
      <c r="S48" s="11">
        <v>0.0</v>
      </c>
      <c r="T48" s="79">
        <v>20.0</v>
      </c>
      <c r="U48" s="35">
        <v>0.0</v>
      </c>
      <c r="V48" s="35">
        <v>3.0</v>
      </c>
      <c r="W48" s="13">
        <v>1.0</v>
      </c>
      <c r="X48" s="79">
        <v>27.5</v>
      </c>
      <c r="Y48" s="36">
        <v>2.0</v>
      </c>
      <c r="Z48" s="36">
        <v>3.0</v>
      </c>
      <c r="AA48" s="15">
        <v>1.0</v>
      </c>
      <c r="AB48" s="79">
        <v>32.0</v>
      </c>
      <c r="AC48" s="37">
        <v>0.0</v>
      </c>
      <c r="AD48" s="37">
        <v>4.0</v>
      </c>
      <c r="AE48" s="17">
        <v>1.0</v>
      </c>
      <c r="AF48" s="79">
        <v>27.0</v>
      </c>
      <c r="AG48" s="38">
        <v>0.0</v>
      </c>
      <c r="AH48" s="38">
        <v>4.0</v>
      </c>
      <c r="AI48" s="19">
        <v>1.0</v>
      </c>
      <c r="AJ48" s="79">
        <v>35.0</v>
      </c>
      <c r="AK48" s="39">
        <v>1.0</v>
      </c>
      <c r="AL48" s="39">
        <v>2.0</v>
      </c>
      <c r="AM48" s="21">
        <v>1.0</v>
      </c>
      <c r="AN48" s="79">
        <v>29.5</v>
      </c>
    </row>
    <row r="49">
      <c r="A49" s="102">
        <v>45.0</v>
      </c>
      <c r="B49" s="103">
        <v>3.0</v>
      </c>
      <c r="C49" s="103" t="s">
        <v>145</v>
      </c>
      <c r="D49" s="104">
        <v>44897.0</v>
      </c>
      <c r="E49" s="105">
        <v>0.75</v>
      </c>
      <c r="F49" s="106"/>
      <c r="G49" s="106" t="s">
        <v>48</v>
      </c>
      <c r="H49" s="107">
        <v>0.0</v>
      </c>
      <c r="I49" s="107">
        <v>2.0</v>
      </c>
      <c r="J49" s="106" t="s">
        <v>49</v>
      </c>
      <c r="K49" s="76"/>
      <c r="L49" s="76"/>
      <c r="M49" s="33">
        <v>2.0</v>
      </c>
      <c r="N49" s="33">
        <v>0.0</v>
      </c>
      <c r="O49" s="8">
        <v>0.0</v>
      </c>
      <c r="P49" s="79">
        <v>21.5</v>
      </c>
      <c r="Q49" s="34">
        <v>2.0</v>
      </c>
      <c r="R49" s="34">
        <v>1.0</v>
      </c>
      <c r="S49" s="11">
        <v>0.0</v>
      </c>
      <c r="T49" s="79">
        <v>20.0</v>
      </c>
      <c r="U49" s="35">
        <v>2.0</v>
      </c>
      <c r="V49" s="35">
        <v>2.0</v>
      </c>
      <c r="W49" s="13">
        <v>0.0</v>
      </c>
      <c r="X49" s="79">
        <v>27.5</v>
      </c>
      <c r="Y49" s="36">
        <v>1.0</v>
      </c>
      <c r="Z49" s="36">
        <v>2.0</v>
      </c>
      <c r="AA49" s="15">
        <v>1.0</v>
      </c>
      <c r="AB49" s="79">
        <v>33.0</v>
      </c>
      <c r="AC49" s="37">
        <v>1.0</v>
      </c>
      <c r="AD49" s="37">
        <v>2.0</v>
      </c>
      <c r="AE49" s="17">
        <v>1.0</v>
      </c>
      <c r="AF49" s="79">
        <v>28.0</v>
      </c>
      <c r="AG49" s="38">
        <v>1.0</v>
      </c>
      <c r="AH49" s="38">
        <v>2.0</v>
      </c>
      <c r="AI49" s="19">
        <v>1.0</v>
      </c>
      <c r="AJ49" s="79">
        <v>36.0</v>
      </c>
      <c r="AK49" s="39">
        <v>1.0</v>
      </c>
      <c r="AL49" s="39">
        <v>1.0</v>
      </c>
      <c r="AM49" s="21">
        <v>0.0</v>
      </c>
      <c r="AN49" s="79">
        <v>29.5</v>
      </c>
    </row>
    <row r="50">
      <c r="A50" s="102">
        <v>46.0</v>
      </c>
      <c r="B50" s="103">
        <v>3.0</v>
      </c>
      <c r="C50" s="103" t="s">
        <v>145</v>
      </c>
      <c r="D50" s="104">
        <v>44897.0</v>
      </c>
      <c r="E50" s="105">
        <v>0.75</v>
      </c>
      <c r="F50" s="127"/>
      <c r="G50" s="128" t="s">
        <v>143</v>
      </c>
      <c r="H50" s="107">
        <v>2.0</v>
      </c>
      <c r="I50" s="107">
        <v>1.0</v>
      </c>
      <c r="J50" s="106" t="s">
        <v>58</v>
      </c>
      <c r="K50" s="76"/>
      <c r="L50" s="76"/>
      <c r="M50" s="33">
        <v>1.0</v>
      </c>
      <c r="N50" s="33">
        <v>2.0</v>
      </c>
      <c r="O50" s="8">
        <v>0.0</v>
      </c>
      <c r="P50" s="79">
        <v>21.5</v>
      </c>
      <c r="Q50" s="34">
        <v>1.0</v>
      </c>
      <c r="R50" s="34">
        <v>2.0</v>
      </c>
      <c r="S50" s="11">
        <v>0.0</v>
      </c>
      <c r="T50" s="79">
        <v>20.0</v>
      </c>
      <c r="U50" s="35">
        <v>1.0</v>
      </c>
      <c r="V50" s="35">
        <v>3.0</v>
      </c>
      <c r="W50" s="13">
        <v>0.0</v>
      </c>
      <c r="X50" s="79">
        <v>27.5</v>
      </c>
      <c r="Y50" s="36">
        <v>1.0</v>
      </c>
      <c r="Z50" s="36">
        <v>3.0</v>
      </c>
      <c r="AA50" s="15">
        <v>0.0</v>
      </c>
      <c r="AB50" s="79">
        <v>33.0</v>
      </c>
      <c r="AC50" s="37">
        <v>1.0</v>
      </c>
      <c r="AD50" s="37">
        <v>2.0</v>
      </c>
      <c r="AE50" s="17">
        <v>0.0</v>
      </c>
      <c r="AF50" s="79">
        <v>28.0</v>
      </c>
      <c r="AG50" s="38">
        <v>1.0</v>
      </c>
      <c r="AH50" s="38">
        <v>1.0</v>
      </c>
      <c r="AI50" s="19">
        <v>0.0</v>
      </c>
      <c r="AJ50" s="79">
        <v>36.0</v>
      </c>
      <c r="AK50" s="39">
        <v>1.0</v>
      </c>
      <c r="AL50" s="39">
        <v>0.0</v>
      </c>
      <c r="AM50" s="21">
        <v>2.0</v>
      </c>
      <c r="AN50" s="79">
        <v>31.5</v>
      </c>
    </row>
    <row r="51">
      <c r="A51" s="102">
        <v>47.0</v>
      </c>
      <c r="B51" s="103">
        <v>3.0</v>
      </c>
      <c r="C51" s="103" t="s">
        <v>145</v>
      </c>
      <c r="D51" s="104">
        <v>44897.0</v>
      </c>
      <c r="E51" s="105">
        <v>0.9166666666666666</v>
      </c>
      <c r="F51" s="106"/>
      <c r="G51" s="106" t="s">
        <v>144</v>
      </c>
      <c r="H51" s="107">
        <v>2.0</v>
      </c>
      <c r="I51" s="107">
        <v>3.0</v>
      </c>
      <c r="J51" s="106" t="s">
        <v>141</v>
      </c>
      <c r="K51" s="76"/>
      <c r="L51" s="76"/>
      <c r="M51" s="33">
        <v>1.0</v>
      </c>
      <c r="N51" s="33">
        <v>1.0</v>
      </c>
      <c r="O51" s="8">
        <v>0.0</v>
      </c>
      <c r="P51" s="79">
        <v>21.5</v>
      </c>
      <c r="Q51" s="34">
        <v>2.0</v>
      </c>
      <c r="R51" s="34">
        <v>1.0</v>
      </c>
      <c r="S51" s="11">
        <v>0.0</v>
      </c>
      <c r="T51" s="79">
        <v>20.0</v>
      </c>
      <c r="U51" s="35">
        <v>1.0</v>
      </c>
      <c r="V51" s="35">
        <v>1.0</v>
      </c>
      <c r="W51" s="13">
        <v>0.0</v>
      </c>
      <c r="X51" s="79">
        <v>27.5</v>
      </c>
      <c r="Y51" s="36">
        <v>2.0</v>
      </c>
      <c r="Z51" s="36">
        <v>1.0</v>
      </c>
      <c r="AA51" s="15">
        <v>0.0</v>
      </c>
      <c r="AB51" s="79">
        <v>33.0</v>
      </c>
      <c r="AC51" s="37">
        <v>1.0</v>
      </c>
      <c r="AD51" s="37">
        <v>1.0</v>
      </c>
      <c r="AE51" s="17">
        <v>0.0</v>
      </c>
      <c r="AF51" s="79">
        <v>28.0</v>
      </c>
      <c r="AG51" s="38">
        <v>1.0</v>
      </c>
      <c r="AH51" s="38">
        <v>1.0</v>
      </c>
      <c r="AI51" s="19">
        <v>0.0</v>
      </c>
      <c r="AJ51" s="79">
        <v>36.0</v>
      </c>
      <c r="AK51" s="39">
        <v>1.0</v>
      </c>
      <c r="AL51" s="39">
        <v>1.0</v>
      </c>
      <c r="AM51" s="21">
        <v>0.0</v>
      </c>
      <c r="AN51" s="79">
        <v>31.5</v>
      </c>
    </row>
    <row r="52">
      <c r="A52" s="108">
        <v>48.0</v>
      </c>
      <c r="B52" s="109">
        <v>3.0</v>
      </c>
      <c r="C52" s="109" t="s">
        <v>145</v>
      </c>
      <c r="D52" s="110">
        <v>44897.0</v>
      </c>
      <c r="E52" s="111">
        <v>0.9166666666666666</v>
      </c>
      <c r="F52" s="112"/>
      <c r="G52" s="112" t="s">
        <v>142</v>
      </c>
      <c r="H52" s="113">
        <v>1.0</v>
      </c>
      <c r="I52" s="113">
        <v>0.0</v>
      </c>
      <c r="J52" s="112" t="s">
        <v>35</v>
      </c>
      <c r="K52" s="23"/>
      <c r="L52" s="23"/>
      <c r="M52" s="44">
        <v>1.0</v>
      </c>
      <c r="N52" s="44">
        <v>2.0</v>
      </c>
      <c r="O52" s="58">
        <v>0.0</v>
      </c>
      <c r="P52" s="89">
        <v>21.5</v>
      </c>
      <c r="Q52" s="45">
        <v>1.0</v>
      </c>
      <c r="R52" s="45">
        <v>0.0</v>
      </c>
      <c r="S52" s="60">
        <v>3.0</v>
      </c>
      <c r="T52" s="89">
        <v>23.0</v>
      </c>
      <c r="U52" s="46">
        <v>1.0</v>
      </c>
      <c r="V52" s="46">
        <v>4.0</v>
      </c>
      <c r="W52" s="62">
        <v>0.0</v>
      </c>
      <c r="X52" s="89">
        <v>27.5</v>
      </c>
      <c r="Y52" s="47">
        <v>1.0</v>
      </c>
      <c r="Z52" s="47">
        <v>2.0</v>
      </c>
      <c r="AA52" s="64">
        <v>0.0</v>
      </c>
      <c r="AB52" s="89">
        <v>33.0</v>
      </c>
      <c r="AC52" s="48">
        <v>1.0</v>
      </c>
      <c r="AD52" s="48">
        <v>3.0</v>
      </c>
      <c r="AE52" s="66">
        <v>0.0</v>
      </c>
      <c r="AF52" s="89">
        <v>28.0</v>
      </c>
      <c r="AG52" s="49">
        <v>2.0</v>
      </c>
      <c r="AH52" s="49">
        <v>1.0</v>
      </c>
      <c r="AI52" s="68">
        <v>2.0</v>
      </c>
      <c r="AJ52" s="89">
        <v>38.0</v>
      </c>
      <c r="AK52" s="50">
        <v>1.0</v>
      </c>
      <c r="AL52" s="50">
        <v>2.0</v>
      </c>
      <c r="AM52" s="70">
        <v>0.0</v>
      </c>
      <c r="AN52" s="89">
        <v>31.5</v>
      </c>
    </row>
    <row r="53">
      <c r="A53" s="102"/>
      <c r="B53" s="127"/>
      <c r="C53" s="129"/>
      <c r="D53" s="130"/>
      <c r="E53" s="131"/>
      <c r="F53" s="125"/>
      <c r="G53" s="125"/>
      <c r="H53" s="129"/>
      <c r="I53" s="129"/>
      <c r="J53" s="125"/>
      <c r="K53" s="124"/>
      <c r="L53" s="124"/>
      <c r="M53" s="132"/>
      <c r="N53" s="132"/>
      <c r="O53" s="121">
        <v>2.0</v>
      </c>
      <c r="P53" s="79">
        <v>21.5</v>
      </c>
      <c r="Q53" s="132"/>
      <c r="R53" s="132"/>
      <c r="S53" s="121">
        <v>6.0</v>
      </c>
      <c r="T53" s="79">
        <v>23.0</v>
      </c>
      <c r="U53" s="132"/>
      <c r="V53" s="132"/>
      <c r="W53" s="121">
        <v>8.0</v>
      </c>
      <c r="X53" s="79">
        <v>27.5</v>
      </c>
      <c r="Y53" s="132"/>
      <c r="Z53" s="132"/>
      <c r="AA53" s="121">
        <v>14.5</v>
      </c>
      <c r="AB53" s="79">
        <v>33.0</v>
      </c>
      <c r="AC53" s="132"/>
      <c r="AD53" s="132"/>
      <c r="AE53" s="121">
        <v>7.0</v>
      </c>
      <c r="AF53" s="79">
        <v>28.0</v>
      </c>
      <c r="AG53" s="132"/>
      <c r="AH53" s="132"/>
      <c r="AI53" s="121">
        <v>17.0</v>
      </c>
      <c r="AJ53" s="79">
        <v>38.0</v>
      </c>
      <c r="AK53" s="132"/>
      <c r="AL53" s="132"/>
      <c r="AM53" s="121">
        <v>13.5</v>
      </c>
      <c r="AN53" s="79">
        <v>31.5</v>
      </c>
    </row>
    <row r="54">
      <c r="A54" s="102">
        <v>49.0</v>
      </c>
      <c r="B54" s="127">
        <v>4.0</v>
      </c>
      <c r="C54" s="133" t="s">
        <v>146</v>
      </c>
      <c r="D54" s="134">
        <v>44898.0</v>
      </c>
      <c r="E54" s="135">
        <v>0.75</v>
      </c>
      <c r="F54" s="4"/>
      <c r="G54" s="4" t="s">
        <v>79</v>
      </c>
      <c r="H54" s="133">
        <v>3.0</v>
      </c>
      <c r="I54" s="133">
        <v>1.0</v>
      </c>
      <c r="J54" s="4" t="s">
        <v>147</v>
      </c>
      <c r="K54" s="126"/>
      <c r="L54" s="126"/>
      <c r="M54" s="33">
        <v>3.0</v>
      </c>
      <c r="N54" s="33">
        <v>1.0</v>
      </c>
      <c r="O54" s="8">
        <v>3.0</v>
      </c>
      <c r="P54" s="79">
        <v>24.5</v>
      </c>
      <c r="Q54" s="34">
        <v>2.0</v>
      </c>
      <c r="R54" s="34">
        <v>0.0</v>
      </c>
      <c r="S54" s="11">
        <v>2.0</v>
      </c>
      <c r="T54" s="79">
        <v>25.0</v>
      </c>
      <c r="U54" s="35">
        <v>3.0</v>
      </c>
      <c r="V54" s="35">
        <v>1.0</v>
      </c>
      <c r="W54" s="13">
        <v>3.0</v>
      </c>
      <c r="X54" s="79">
        <v>30.5</v>
      </c>
      <c r="Y54" s="36">
        <v>1.0</v>
      </c>
      <c r="Z54" s="36">
        <v>1.0</v>
      </c>
      <c r="AA54" s="15">
        <v>0.0</v>
      </c>
      <c r="AB54" s="79">
        <v>33.0</v>
      </c>
      <c r="AC54" s="37">
        <v>1.0</v>
      </c>
      <c r="AD54" s="37">
        <v>1.0</v>
      </c>
      <c r="AE54" s="17">
        <v>0.0</v>
      </c>
      <c r="AF54" s="79">
        <v>28.0</v>
      </c>
      <c r="AG54" s="38">
        <v>1.0</v>
      </c>
      <c r="AH54" s="38">
        <v>1.0</v>
      </c>
      <c r="AI54" s="19">
        <v>0.0</v>
      </c>
      <c r="AJ54" s="79">
        <v>38.0</v>
      </c>
      <c r="AK54" s="39">
        <v>2.0</v>
      </c>
      <c r="AL54" s="39">
        <v>1.0</v>
      </c>
      <c r="AM54" s="21">
        <v>1.0</v>
      </c>
      <c r="AN54" s="79">
        <v>32.5</v>
      </c>
    </row>
    <row r="55">
      <c r="A55" s="102">
        <v>50.0</v>
      </c>
      <c r="B55" s="127">
        <v>4.0</v>
      </c>
      <c r="C55" s="133" t="s">
        <v>146</v>
      </c>
      <c r="D55" s="134">
        <v>44898.0</v>
      </c>
      <c r="E55" s="135">
        <v>0.9166666666666666</v>
      </c>
      <c r="F55" s="4"/>
      <c r="G55" s="4" t="s">
        <v>148</v>
      </c>
      <c r="H55" s="133">
        <v>2.0</v>
      </c>
      <c r="I55" s="133">
        <v>1.0</v>
      </c>
      <c r="J55" s="4" t="s">
        <v>133</v>
      </c>
      <c r="K55" s="126"/>
      <c r="L55" s="126"/>
      <c r="M55" s="33">
        <v>2.0</v>
      </c>
      <c r="N55" s="33">
        <v>0.0</v>
      </c>
      <c r="O55" s="8">
        <v>1.0</v>
      </c>
      <c r="P55" s="79">
        <v>25.5</v>
      </c>
      <c r="Q55" s="34">
        <v>3.0</v>
      </c>
      <c r="R55" s="34">
        <v>1.0</v>
      </c>
      <c r="S55" s="11">
        <v>1.0</v>
      </c>
      <c r="T55" s="79">
        <v>26.0</v>
      </c>
      <c r="U55" s="35">
        <v>4.0</v>
      </c>
      <c r="V55" s="35">
        <v>0.0</v>
      </c>
      <c r="W55" s="13">
        <v>1.0</v>
      </c>
      <c r="X55" s="79">
        <v>31.5</v>
      </c>
      <c r="Y55" s="36">
        <v>3.0</v>
      </c>
      <c r="Z55" s="36">
        <v>1.0</v>
      </c>
      <c r="AA55" s="15">
        <v>1.0</v>
      </c>
      <c r="AB55" s="79">
        <v>34.0</v>
      </c>
      <c r="AC55" s="37">
        <v>4.0</v>
      </c>
      <c r="AD55" s="37">
        <v>0.0</v>
      </c>
      <c r="AE55" s="17">
        <v>1.0</v>
      </c>
      <c r="AF55" s="79">
        <v>29.0</v>
      </c>
      <c r="AG55" s="38">
        <v>2.0</v>
      </c>
      <c r="AH55" s="38">
        <v>1.0</v>
      </c>
      <c r="AI55" s="19">
        <v>3.0</v>
      </c>
      <c r="AJ55" s="79">
        <v>41.0</v>
      </c>
      <c r="AK55" s="39">
        <v>2.0</v>
      </c>
      <c r="AL55" s="39">
        <v>1.0</v>
      </c>
      <c r="AM55" s="21">
        <v>3.0</v>
      </c>
      <c r="AN55" s="79">
        <v>35.5</v>
      </c>
    </row>
    <row r="56">
      <c r="A56" s="102">
        <v>51.0</v>
      </c>
      <c r="B56" s="127">
        <v>4.0</v>
      </c>
      <c r="C56" s="133" t="s">
        <v>121</v>
      </c>
      <c r="D56" s="134">
        <v>44899.0</v>
      </c>
      <c r="E56" s="135">
        <v>0.75</v>
      </c>
      <c r="F56" s="4"/>
      <c r="G56" s="4" t="s">
        <v>61</v>
      </c>
      <c r="H56" s="133">
        <v>3.0</v>
      </c>
      <c r="I56" s="133">
        <v>0.0</v>
      </c>
      <c r="J56" s="4" t="s">
        <v>125</v>
      </c>
      <c r="K56" s="126"/>
      <c r="L56" s="126"/>
      <c r="M56" s="33">
        <v>2.0</v>
      </c>
      <c r="N56" s="33">
        <v>1.0</v>
      </c>
      <c r="O56" s="8">
        <v>1.0</v>
      </c>
      <c r="P56" s="79">
        <v>26.5</v>
      </c>
      <c r="Q56" s="34">
        <v>1.0</v>
      </c>
      <c r="R56" s="34">
        <v>2.0</v>
      </c>
      <c r="S56" s="11">
        <v>0.0</v>
      </c>
      <c r="T56" s="79">
        <v>26.0</v>
      </c>
      <c r="U56" s="35">
        <v>2.0</v>
      </c>
      <c r="V56" s="35">
        <v>1.0</v>
      </c>
      <c r="W56" s="13">
        <v>1.0</v>
      </c>
      <c r="X56" s="79">
        <v>32.5</v>
      </c>
      <c r="Y56" s="36">
        <v>0.0</v>
      </c>
      <c r="Z56" s="36">
        <v>2.0</v>
      </c>
      <c r="AA56" s="15">
        <v>0.0</v>
      </c>
      <c r="AB56" s="79">
        <v>34.0</v>
      </c>
      <c r="AC56" s="37">
        <v>3.0</v>
      </c>
      <c r="AD56" s="37">
        <v>0.0</v>
      </c>
      <c r="AE56" s="17">
        <v>3.0</v>
      </c>
      <c r="AF56" s="79">
        <v>32.0</v>
      </c>
      <c r="AG56" s="38">
        <v>1.0</v>
      </c>
      <c r="AH56" s="38">
        <v>0.0</v>
      </c>
      <c r="AI56" s="19">
        <v>1.0</v>
      </c>
      <c r="AJ56" s="79">
        <v>42.0</v>
      </c>
      <c r="AK56" s="39">
        <v>2.0</v>
      </c>
      <c r="AL56" s="39">
        <v>1.0</v>
      </c>
      <c r="AM56" s="21">
        <v>1.0</v>
      </c>
      <c r="AN56" s="79">
        <v>36.5</v>
      </c>
    </row>
    <row r="57">
      <c r="A57" s="102">
        <v>52.0</v>
      </c>
      <c r="B57" s="127">
        <v>4.0</v>
      </c>
      <c r="C57" s="133" t="s">
        <v>121</v>
      </c>
      <c r="D57" s="134">
        <v>44899.0</v>
      </c>
      <c r="E57" s="135">
        <v>0.9166666666666666</v>
      </c>
      <c r="F57" s="4"/>
      <c r="G57" s="4" t="s">
        <v>36</v>
      </c>
      <c r="H57" s="133">
        <v>3.0</v>
      </c>
      <c r="I57" s="133">
        <v>1.0</v>
      </c>
      <c r="J57" s="4" t="s">
        <v>149</v>
      </c>
      <c r="K57" s="126"/>
      <c r="L57" s="126"/>
      <c r="M57" s="33">
        <v>1.0</v>
      </c>
      <c r="N57" s="33">
        <v>0.0</v>
      </c>
      <c r="O57" s="8">
        <v>1.0</v>
      </c>
      <c r="P57" s="79">
        <v>27.5</v>
      </c>
      <c r="Q57" s="34">
        <v>2.0</v>
      </c>
      <c r="R57" s="34">
        <v>1.0</v>
      </c>
      <c r="S57" s="11">
        <v>1.0</v>
      </c>
      <c r="T57" s="79">
        <v>27.0</v>
      </c>
      <c r="U57" s="35">
        <v>2.0</v>
      </c>
      <c r="V57" s="35">
        <v>0.0</v>
      </c>
      <c r="W57" s="13">
        <v>2.0</v>
      </c>
      <c r="X57" s="79">
        <v>34.5</v>
      </c>
      <c r="Y57" s="36">
        <v>2.0</v>
      </c>
      <c r="Z57" s="36">
        <v>1.0</v>
      </c>
      <c r="AA57" s="15">
        <v>1.0</v>
      </c>
      <c r="AB57" s="79">
        <v>35.0</v>
      </c>
      <c r="AC57" s="37">
        <v>2.0</v>
      </c>
      <c r="AD57" s="37">
        <v>0.0</v>
      </c>
      <c r="AE57" s="17">
        <v>2.0</v>
      </c>
      <c r="AF57" s="79">
        <v>34.0</v>
      </c>
      <c r="AG57" s="38">
        <v>2.0</v>
      </c>
      <c r="AH57" s="38">
        <v>1.0</v>
      </c>
      <c r="AI57" s="19">
        <v>1.0</v>
      </c>
      <c r="AJ57" s="79">
        <v>43.0</v>
      </c>
      <c r="AK57" s="39">
        <v>2.0</v>
      </c>
      <c r="AL57" s="39">
        <v>0.0</v>
      </c>
      <c r="AM57" s="21">
        <v>2.0</v>
      </c>
      <c r="AN57" s="79">
        <v>38.5</v>
      </c>
    </row>
    <row r="58">
      <c r="A58" s="102">
        <v>53.0</v>
      </c>
      <c r="B58" s="127">
        <v>4.0</v>
      </c>
      <c r="C58" s="133" t="s">
        <v>124</v>
      </c>
      <c r="D58" s="134">
        <v>44900.0</v>
      </c>
      <c r="E58" s="135">
        <v>0.75</v>
      </c>
      <c r="F58" s="4"/>
      <c r="G58" s="4" t="s">
        <v>34</v>
      </c>
      <c r="H58" s="133">
        <v>1.0</v>
      </c>
      <c r="I58" s="133">
        <v>1.0</v>
      </c>
      <c r="J58" s="4" t="s">
        <v>136</v>
      </c>
      <c r="K58" s="133">
        <v>1.0</v>
      </c>
      <c r="L58" s="133">
        <v>3.0</v>
      </c>
      <c r="M58" s="33">
        <v>2.0</v>
      </c>
      <c r="N58" s="33">
        <v>1.0</v>
      </c>
      <c r="O58" s="8">
        <v>0.0</v>
      </c>
      <c r="P58" s="79">
        <v>27.5</v>
      </c>
      <c r="Q58" s="34">
        <v>1.0</v>
      </c>
      <c r="R58" s="34">
        <v>1.0</v>
      </c>
      <c r="S58" s="11">
        <v>3.0</v>
      </c>
      <c r="T58" s="79">
        <v>30.0</v>
      </c>
      <c r="U58" s="35">
        <v>1.0</v>
      </c>
      <c r="V58" s="35">
        <v>2.0</v>
      </c>
      <c r="W58" s="13">
        <v>0.0</v>
      </c>
      <c r="X58" s="79">
        <v>34.5</v>
      </c>
      <c r="Y58" s="36">
        <v>1.0</v>
      </c>
      <c r="Z58" s="36">
        <v>2.0</v>
      </c>
      <c r="AA58" s="15">
        <v>0.0</v>
      </c>
      <c r="AB58" s="79">
        <v>35.0</v>
      </c>
      <c r="AC58" s="37">
        <v>1.0</v>
      </c>
      <c r="AD58" s="37">
        <v>2.0</v>
      </c>
      <c r="AE58" s="17">
        <v>0.0</v>
      </c>
      <c r="AF58" s="79">
        <v>34.0</v>
      </c>
      <c r="AG58" s="38">
        <v>1.0</v>
      </c>
      <c r="AH58" s="38">
        <v>1.0</v>
      </c>
      <c r="AI58" s="19">
        <v>3.0</v>
      </c>
      <c r="AJ58" s="79">
        <v>46.0</v>
      </c>
      <c r="AK58" s="39">
        <v>0.0</v>
      </c>
      <c r="AL58" s="39">
        <v>1.0</v>
      </c>
      <c r="AM58" s="21">
        <v>0.0</v>
      </c>
      <c r="AN58" s="79">
        <v>38.5</v>
      </c>
    </row>
    <row r="59">
      <c r="A59" s="102">
        <v>54.0</v>
      </c>
      <c r="B59" s="127">
        <v>4.0</v>
      </c>
      <c r="C59" s="133" t="s">
        <v>124</v>
      </c>
      <c r="D59" s="134">
        <v>44900.0</v>
      </c>
      <c r="E59" s="135">
        <v>0.9166666666666666</v>
      </c>
      <c r="F59" s="4"/>
      <c r="G59" s="4" t="s">
        <v>35</v>
      </c>
      <c r="H59" s="133">
        <v>4.0</v>
      </c>
      <c r="I59" s="133">
        <v>1.0</v>
      </c>
      <c r="J59" s="128" t="s">
        <v>143</v>
      </c>
      <c r="K59" s="126"/>
      <c r="L59" s="126"/>
      <c r="M59" s="33">
        <v>2.0</v>
      </c>
      <c r="N59" s="33">
        <v>0.0</v>
      </c>
      <c r="O59" s="8">
        <v>1.0</v>
      </c>
      <c r="P59" s="79">
        <v>28.5</v>
      </c>
      <c r="Q59" s="34">
        <v>2.0</v>
      </c>
      <c r="R59" s="34">
        <v>1.0</v>
      </c>
      <c r="S59" s="11">
        <v>1.0</v>
      </c>
      <c r="T59" s="79">
        <v>31.0</v>
      </c>
      <c r="U59" s="35">
        <v>3.0</v>
      </c>
      <c r="V59" s="35">
        <v>0.0</v>
      </c>
      <c r="W59" s="13">
        <v>2.0</v>
      </c>
      <c r="X59" s="79">
        <v>36.5</v>
      </c>
      <c r="Y59" s="36">
        <v>2.0</v>
      </c>
      <c r="Z59" s="36">
        <v>0.0</v>
      </c>
      <c r="AA59" s="15">
        <v>1.0</v>
      </c>
      <c r="AB59" s="79">
        <v>36.0</v>
      </c>
      <c r="AC59" s="37">
        <v>2.0</v>
      </c>
      <c r="AD59" s="37">
        <v>0.0</v>
      </c>
      <c r="AE59" s="17">
        <v>1.0</v>
      </c>
      <c r="AF59" s="79">
        <v>35.0</v>
      </c>
      <c r="AG59" s="38">
        <v>2.0</v>
      </c>
      <c r="AH59" s="38">
        <v>1.0</v>
      </c>
      <c r="AI59" s="19">
        <v>1.0</v>
      </c>
      <c r="AJ59" s="79">
        <v>47.0</v>
      </c>
      <c r="AK59" s="39">
        <v>2.0</v>
      </c>
      <c r="AL59" s="39">
        <v>0.0</v>
      </c>
      <c r="AM59" s="21">
        <v>1.0</v>
      </c>
      <c r="AN59" s="79">
        <v>39.5</v>
      </c>
    </row>
    <row r="60">
      <c r="A60" s="102">
        <v>55.0</v>
      </c>
      <c r="B60" s="127">
        <v>4.0</v>
      </c>
      <c r="C60" s="133" t="s">
        <v>129</v>
      </c>
      <c r="D60" s="134">
        <v>44901.0</v>
      </c>
      <c r="E60" s="135">
        <v>0.75</v>
      </c>
      <c r="F60" s="4"/>
      <c r="G60" s="4" t="s">
        <v>135</v>
      </c>
      <c r="H60" s="133">
        <v>0.0</v>
      </c>
      <c r="I60" s="133">
        <v>0.0</v>
      </c>
      <c r="J60" s="4" t="s">
        <v>50</v>
      </c>
      <c r="K60" s="133">
        <v>3.0</v>
      </c>
      <c r="L60" s="133">
        <v>0.0</v>
      </c>
      <c r="M60" s="33">
        <v>1.0</v>
      </c>
      <c r="N60" s="33">
        <v>1.0</v>
      </c>
      <c r="O60" s="8">
        <v>1.5</v>
      </c>
      <c r="P60" s="79">
        <v>30.0</v>
      </c>
      <c r="Q60" s="34">
        <v>0.0</v>
      </c>
      <c r="R60" s="34">
        <v>2.0</v>
      </c>
      <c r="S60" s="11">
        <v>0.0</v>
      </c>
      <c r="T60" s="79">
        <v>31.0</v>
      </c>
      <c r="U60" s="35">
        <v>0.0</v>
      </c>
      <c r="V60" s="35">
        <v>2.0</v>
      </c>
      <c r="W60" s="13">
        <v>0.0</v>
      </c>
      <c r="X60" s="79">
        <v>36.5</v>
      </c>
      <c r="Y60" s="36">
        <v>2.0</v>
      </c>
      <c r="Z60" s="36">
        <v>3.0</v>
      </c>
      <c r="AA60" s="15">
        <v>0.0</v>
      </c>
      <c r="AB60" s="79">
        <v>36.0</v>
      </c>
      <c r="AC60" s="37">
        <v>0.0</v>
      </c>
      <c r="AD60" s="37">
        <v>1.0</v>
      </c>
      <c r="AE60" s="17">
        <v>0.0</v>
      </c>
      <c r="AF60" s="79">
        <v>35.0</v>
      </c>
      <c r="AG60" s="38">
        <v>2.0</v>
      </c>
      <c r="AH60" s="38">
        <v>2.0</v>
      </c>
      <c r="AI60" s="19">
        <v>1.5</v>
      </c>
      <c r="AJ60" s="79">
        <v>48.5</v>
      </c>
      <c r="AK60" s="39">
        <v>1.0</v>
      </c>
      <c r="AL60" s="39">
        <v>2.0</v>
      </c>
      <c r="AM60" s="21">
        <v>0.0</v>
      </c>
      <c r="AN60" s="79">
        <v>39.5</v>
      </c>
    </row>
    <row r="61">
      <c r="A61" s="108">
        <v>56.0</v>
      </c>
      <c r="B61" s="136">
        <v>4.0</v>
      </c>
      <c r="C61" s="137" t="s">
        <v>129</v>
      </c>
      <c r="D61" s="138">
        <v>44901.0</v>
      </c>
      <c r="E61" s="139">
        <v>0.9166666666666666</v>
      </c>
      <c r="F61" s="43"/>
      <c r="G61" s="43" t="s">
        <v>58</v>
      </c>
      <c r="H61" s="137">
        <v>6.0</v>
      </c>
      <c r="I61" s="137">
        <v>1.0</v>
      </c>
      <c r="J61" s="43" t="s">
        <v>141</v>
      </c>
      <c r="K61" s="140"/>
      <c r="L61" s="140"/>
      <c r="M61" s="44">
        <v>3.0</v>
      </c>
      <c r="N61" s="44">
        <v>1.0</v>
      </c>
      <c r="O61" s="58">
        <v>1.0</v>
      </c>
      <c r="P61" s="89">
        <v>31.0</v>
      </c>
      <c r="Q61" s="45">
        <v>2.0</v>
      </c>
      <c r="R61" s="45">
        <v>1.0</v>
      </c>
      <c r="S61" s="60">
        <v>1.0</v>
      </c>
      <c r="T61" s="89">
        <v>32.0</v>
      </c>
      <c r="U61" s="46">
        <v>2.0</v>
      </c>
      <c r="V61" s="46">
        <v>2.0</v>
      </c>
      <c r="W61" s="62">
        <v>0.0</v>
      </c>
      <c r="X61" s="89">
        <v>36.5</v>
      </c>
      <c r="Y61" s="47">
        <v>4.0</v>
      </c>
      <c r="Z61" s="47">
        <v>2.0</v>
      </c>
      <c r="AA61" s="64">
        <v>1.0</v>
      </c>
      <c r="AB61" s="89">
        <v>37.0</v>
      </c>
      <c r="AC61" s="48">
        <v>1.0</v>
      </c>
      <c r="AD61" s="48">
        <v>2.0</v>
      </c>
      <c r="AE61" s="66">
        <v>0.0</v>
      </c>
      <c r="AF61" s="89">
        <v>35.0</v>
      </c>
      <c r="AG61" s="49">
        <v>2.0</v>
      </c>
      <c r="AH61" s="49">
        <v>0.0</v>
      </c>
      <c r="AI61" s="68">
        <v>1.0</v>
      </c>
      <c r="AJ61" s="89">
        <v>49.5</v>
      </c>
      <c r="AK61" s="50">
        <v>2.0</v>
      </c>
      <c r="AL61" s="50">
        <v>1.0</v>
      </c>
      <c r="AM61" s="70">
        <v>1.0</v>
      </c>
      <c r="AN61" s="89">
        <v>40.5</v>
      </c>
    </row>
    <row r="62">
      <c r="A62" s="102"/>
      <c r="B62" s="129"/>
      <c r="C62" s="129"/>
      <c r="D62" s="130"/>
      <c r="E62" s="131"/>
      <c r="F62" s="125"/>
      <c r="G62" s="125"/>
      <c r="H62" s="124"/>
      <c r="I62" s="124"/>
      <c r="J62" s="125"/>
      <c r="K62" s="124"/>
      <c r="L62" s="124"/>
      <c r="M62" s="132"/>
      <c r="N62" s="132"/>
      <c r="O62" s="121">
        <v>9.5</v>
      </c>
      <c r="P62" s="79">
        <v>31.0</v>
      </c>
      <c r="Q62" s="132"/>
      <c r="R62" s="132"/>
      <c r="S62" s="121">
        <v>9.0</v>
      </c>
      <c r="T62" s="79">
        <v>32.0</v>
      </c>
      <c r="U62" s="132"/>
      <c r="V62" s="132"/>
      <c r="W62" s="121">
        <v>9.0</v>
      </c>
      <c r="X62" s="79">
        <v>36.5</v>
      </c>
      <c r="Y62" s="132"/>
      <c r="Z62" s="132"/>
      <c r="AA62" s="121">
        <v>4.0</v>
      </c>
      <c r="AB62" s="79">
        <v>37.0</v>
      </c>
      <c r="AC62" s="132"/>
      <c r="AD62" s="132"/>
      <c r="AE62" s="121">
        <v>7.0</v>
      </c>
      <c r="AF62" s="79">
        <v>35.0</v>
      </c>
      <c r="AG62" s="132"/>
      <c r="AH62" s="132"/>
      <c r="AI62" s="121">
        <v>11.5</v>
      </c>
      <c r="AJ62" s="79">
        <v>49.5</v>
      </c>
      <c r="AK62" s="132"/>
      <c r="AL62" s="132"/>
      <c r="AM62" s="121">
        <v>9.0</v>
      </c>
      <c r="AN62" s="79">
        <v>40.5</v>
      </c>
    </row>
    <row r="63">
      <c r="A63" s="102">
        <v>57.0</v>
      </c>
      <c r="B63" s="133">
        <v>5.0</v>
      </c>
      <c r="C63" s="133" t="s">
        <v>145</v>
      </c>
      <c r="D63" s="134">
        <v>44904.0</v>
      </c>
      <c r="E63" s="135">
        <v>0.9166666666666666</v>
      </c>
      <c r="F63" s="4"/>
      <c r="G63" s="4" t="s">
        <v>136</v>
      </c>
      <c r="H63" s="133">
        <v>1.0</v>
      </c>
      <c r="I63" s="133">
        <v>1.0</v>
      </c>
      <c r="J63" s="4" t="s">
        <v>35</v>
      </c>
      <c r="K63" s="133">
        <v>4.0</v>
      </c>
      <c r="L63" s="133">
        <v>2.0</v>
      </c>
      <c r="M63" s="33">
        <v>0.0</v>
      </c>
      <c r="N63" s="33">
        <v>2.0</v>
      </c>
      <c r="O63" s="8">
        <f t="shared" ref="O63:O66" si="1">score($H63, $I63, M63, N63)</f>
        <v>0</v>
      </c>
      <c r="P63" s="79">
        <f t="shared" ref="P63:P66" si="2">P62+O63</f>
        <v>31</v>
      </c>
      <c r="Q63" s="34">
        <v>0.0</v>
      </c>
      <c r="R63" s="34">
        <v>2.0</v>
      </c>
      <c r="S63" s="11">
        <f t="shared" ref="S63:S66" si="3">score($H63, $I63, Q63, R63)</f>
        <v>0</v>
      </c>
      <c r="T63" s="79">
        <f t="shared" ref="T63:T66" si="4">T62+S63</f>
        <v>32</v>
      </c>
      <c r="U63" s="35">
        <v>0.0</v>
      </c>
      <c r="V63" s="35">
        <v>2.0</v>
      </c>
      <c r="W63" s="13">
        <f t="shared" ref="W63:W66" si="5">score($H63, $I63, U63, V63)</f>
        <v>0</v>
      </c>
      <c r="X63" s="79">
        <f t="shared" ref="X63:X66" si="6">X62+W63</f>
        <v>36.5</v>
      </c>
      <c r="Y63" s="36">
        <v>0.0</v>
      </c>
      <c r="Z63" s="36">
        <v>2.0</v>
      </c>
      <c r="AA63" s="15">
        <f t="shared" ref="AA63:AA66" si="7">score($H63, $I63, Y63, Z63)</f>
        <v>0</v>
      </c>
      <c r="AB63" s="79">
        <f t="shared" ref="AB63:AB66" si="8">AB62+AA63</f>
        <v>37</v>
      </c>
      <c r="AC63" s="37">
        <v>1.0</v>
      </c>
      <c r="AD63" s="37">
        <v>2.0</v>
      </c>
      <c r="AE63" s="17">
        <f t="shared" ref="AE63:AE66" si="9">score($H63, $I63, AC63, AD63)</f>
        <v>0</v>
      </c>
      <c r="AF63" s="79">
        <f t="shared" ref="AF63:AF66" si="10">AF62+AE63</f>
        <v>35</v>
      </c>
      <c r="AG63" s="38">
        <v>1.0</v>
      </c>
      <c r="AH63" s="38">
        <v>2.0</v>
      </c>
      <c r="AI63" s="19">
        <f t="shared" ref="AI63:AI66" si="11">score($H63, $I63, AG63, AH63)</f>
        <v>0</v>
      </c>
      <c r="AJ63" s="79">
        <f t="shared" ref="AJ63:AJ66" si="12">AJ62+AI63</f>
        <v>49.5</v>
      </c>
      <c r="AK63" s="39">
        <v>1.0</v>
      </c>
      <c r="AL63" s="39">
        <v>3.0</v>
      </c>
      <c r="AM63" s="21">
        <f t="shared" ref="AM63:AM66" si="13">score($H63, $I63, AK63, AL63)</f>
        <v>0</v>
      </c>
      <c r="AN63" s="79">
        <f t="shared" ref="AN63:AN66" si="14">AN62+AM63</f>
        <v>40.5</v>
      </c>
    </row>
    <row r="64">
      <c r="A64" s="127">
        <v>58.0</v>
      </c>
      <c r="B64" s="133">
        <v>5.0</v>
      </c>
      <c r="C64" s="133" t="s">
        <v>145</v>
      </c>
      <c r="D64" s="134">
        <v>44904.0</v>
      </c>
      <c r="E64" s="135">
        <v>0.75</v>
      </c>
      <c r="F64" s="4"/>
      <c r="G64" s="4" t="s">
        <v>150</v>
      </c>
      <c r="H64" s="133">
        <v>2.0</v>
      </c>
      <c r="I64" s="133">
        <v>2.0</v>
      </c>
      <c r="J64" s="4" t="s">
        <v>76</v>
      </c>
      <c r="K64" s="133">
        <v>3.0</v>
      </c>
      <c r="L64" s="133">
        <v>4.0</v>
      </c>
      <c r="M64" s="33">
        <v>1.0</v>
      </c>
      <c r="N64" s="33">
        <v>0.0</v>
      </c>
      <c r="O64" s="8">
        <f t="shared" si="1"/>
        <v>0</v>
      </c>
      <c r="P64" s="79">
        <f t="shared" si="2"/>
        <v>31</v>
      </c>
      <c r="Q64" s="34">
        <v>2.0</v>
      </c>
      <c r="R64" s="34">
        <v>2.0</v>
      </c>
      <c r="S64" s="11">
        <f t="shared" si="3"/>
        <v>3</v>
      </c>
      <c r="T64" s="79">
        <f t="shared" si="4"/>
        <v>35</v>
      </c>
      <c r="U64" s="35">
        <v>1.0</v>
      </c>
      <c r="V64" s="35">
        <v>2.0</v>
      </c>
      <c r="W64" s="13">
        <f t="shared" si="5"/>
        <v>0</v>
      </c>
      <c r="X64" s="79">
        <f t="shared" si="6"/>
        <v>36.5</v>
      </c>
      <c r="Y64" s="36">
        <v>1.0</v>
      </c>
      <c r="Z64" s="36">
        <v>2.0</v>
      </c>
      <c r="AA64" s="15">
        <f t="shared" si="7"/>
        <v>0</v>
      </c>
      <c r="AB64" s="79">
        <f t="shared" si="8"/>
        <v>37</v>
      </c>
      <c r="AC64" s="37">
        <v>2.0</v>
      </c>
      <c r="AD64" s="37">
        <v>1.0</v>
      </c>
      <c r="AE64" s="17">
        <f t="shared" si="9"/>
        <v>0</v>
      </c>
      <c r="AF64" s="79">
        <f t="shared" si="10"/>
        <v>35</v>
      </c>
      <c r="AG64" s="38">
        <v>1.0</v>
      </c>
      <c r="AH64" s="38">
        <v>1.0</v>
      </c>
      <c r="AI64" s="19">
        <f t="shared" si="11"/>
        <v>1.5</v>
      </c>
      <c r="AJ64" s="79">
        <f t="shared" si="12"/>
        <v>51</v>
      </c>
      <c r="AK64" s="39">
        <v>2.0</v>
      </c>
      <c r="AL64" s="39">
        <v>0.0</v>
      </c>
      <c r="AM64" s="21">
        <f t="shared" si="13"/>
        <v>0</v>
      </c>
      <c r="AN64" s="79">
        <f t="shared" si="14"/>
        <v>40.5</v>
      </c>
    </row>
    <row r="65">
      <c r="A65" s="127">
        <v>59.0</v>
      </c>
      <c r="B65" s="133">
        <v>5.0</v>
      </c>
      <c r="C65" s="133" t="s">
        <v>146</v>
      </c>
      <c r="D65" s="134">
        <v>44905.0</v>
      </c>
      <c r="E65" s="135">
        <v>0.9166666666666666</v>
      </c>
      <c r="F65" s="4"/>
      <c r="G65" s="4" t="s">
        <v>61</v>
      </c>
      <c r="H65" s="133">
        <v>1.0</v>
      </c>
      <c r="I65" s="133">
        <v>2.0</v>
      </c>
      <c r="J65" s="4" t="s">
        <v>36</v>
      </c>
      <c r="K65" s="126"/>
      <c r="L65" s="126"/>
      <c r="M65" s="33">
        <v>1.0</v>
      </c>
      <c r="N65" s="33">
        <v>1.0</v>
      </c>
      <c r="O65" s="8">
        <f t="shared" si="1"/>
        <v>0</v>
      </c>
      <c r="P65" s="79">
        <f t="shared" si="2"/>
        <v>31</v>
      </c>
      <c r="Q65" s="34">
        <v>1.0</v>
      </c>
      <c r="R65" s="34">
        <v>2.0</v>
      </c>
      <c r="S65" s="11">
        <f t="shared" si="3"/>
        <v>3</v>
      </c>
      <c r="T65" s="79">
        <f t="shared" si="4"/>
        <v>38</v>
      </c>
      <c r="U65" s="35">
        <v>3.0</v>
      </c>
      <c r="V65" s="35">
        <v>2.0</v>
      </c>
      <c r="W65" s="13">
        <f t="shared" si="5"/>
        <v>0</v>
      </c>
      <c r="X65" s="79">
        <f t="shared" si="6"/>
        <v>36.5</v>
      </c>
      <c r="Y65" s="36">
        <v>1.0</v>
      </c>
      <c r="Z65" s="36">
        <v>3.0</v>
      </c>
      <c r="AA65" s="15">
        <f t="shared" si="7"/>
        <v>1</v>
      </c>
      <c r="AB65" s="79">
        <f t="shared" si="8"/>
        <v>38</v>
      </c>
      <c r="AC65" s="37">
        <v>2.0</v>
      </c>
      <c r="AD65" s="37">
        <v>3.0</v>
      </c>
      <c r="AE65" s="17">
        <f t="shared" si="9"/>
        <v>2</v>
      </c>
      <c r="AF65" s="79">
        <f t="shared" si="10"/>
        <v>37</v>
      </c>
      <c r="AG65" s="38">
        <v>1.0</v>
      </c>
      <c r="AH65" s="38">
        <v>2.0</v>
      </c>
      <c r="AI65" s="19">
        <f t="shared" si="11"/>
        <v>3</v>
      </c>
      <c r="AJ65" s="79">
        <f t="shared" si="12"/>
        <v>54</v>
      </c>
      <c r="AK65" s="39">
        <v>1.0</v>
      </c>
      <c r="AL65" s="39">
        <v>2.0</v>
      </c>
      <c r="AM65" s="21">
        <f t="shared" si="13"/>
        <v>3</v>
      </c>
      <c r="AN65" s="79">
        <f t="shared" si="14"/>
        <v>43.5</v>
      </c>
    </row>
    <row r="66">
      <c r="A66" s="136">
        <v>60.0</v>
      </c>
      <c r="B66" s="137">
        <v>5.0</v>
      </c>
      <c r="C66" s="137" t="s">
        <v>146</v>
      </c>
      <c r="D66" s="138">
        <v>44905.0</v>
      </c>
      <c r="E66" s="139">
        <v>0.75</v>
      </c>
      <c r="F66" s="43"/>
      <c r="G66" s="43" t="s">
        <v>135</v>
      </c>
      <c r="H66" s="137">
        <v>1.0</v>
      </c>
      <c r="I66" s="137">
        <v>0.0</v>
      </c>
      <c r="J66" s="43" t="s">
        <v>58</v>
      </c>
      <c r="K66" s="140"/>
      <c r="L66" s="140"/>
      <c r="M66" s="44">
        <v>1.0</v>
      </c>
      <c r="N66" s="44">
        <v>3.0</v>
      </c>
      <c r="O66" s="58">
        <f t="shared" si="1"/>
        <v>0</v>
      </c>
      <c r="P66" s="89">
        <f t="shared" si="2"/>
        <v>31</v>
      </c>
      <c r="Q66" s="45">
        <v>1.0</v>
      </c>
      <c r="R66" s="45">
        <v>3.0</v>
      </c>
      <c r="S66" s="60">
        <f t="shared" si="3"/>
        <v>0</v>
      </c>
      <c r="T66" s="89">
        <f t="shared" si="4"/>
        <v>38</v>
      </c>
      <c r="U66" s="46">
        <v>0.0</v>
      </c>
      <c r="V66" s="46">
        <v>2.0</v>
      </c>
      <c r="W66" s="62">
        <f t="shared" si="5"/>
        <v>0</v>
      </c>
      <c r="X66" s="89">
        <f t="shared" si="6"/>
        <v>36.5</v>
      </c>
      <c r="Y66" s="47">
        <v>2.0</v>
      </c>
      <c r="Z66" s="47">
        <v>3.0</v>
      </c>
      <c r="AA66" s="64">
        <f t="shared" si="7"/>
        <v>0</v>
      </c>
      <c r="AB66" s="89">
        <f t="shared" si="8"/>
        <v>38</v>
      </c>
      <c r="AC66" s="48">
        <v>0.0</v>
      </c>
      <c r="AD66" s="48">
        <v>1.0</v>
      </c>
      <c r="AE66" s="66">
        <f t="shared" si="9"/>
        <v>0</v>
      </c>
      <c r="AF66" s="89">
        <f t="shared" si="10"/>
        <v>37</v>
      </c>
      <c r="AG66" s="49">
        <v>1.0</v>
      </c>
      <c r="AH66" s="49">
        <v>2.0</v>
      </c>
      <c r="AI66" s="68">
        <f t="shared" si="11"/>
        <v>0</v>
      </c>
      <c r="AJ66" s="89">
        <f t="shared" si="12"/>
        <v>54</v>
      </c>
      <c r="AK66" s="50">
        <v>0.0</v>
      </c>
      <c r="AL66" s="50">
        <v>2.0</v>
      </c>
      <c r="AM66" s="70">
        <f t="shared" si="13"/>
        <v>0</v>
      </c>
      <c r="AN66" s="89">
        <f t="shared" si="14"/>
        <v>43.5</v>
      </c>
    </row>
    <row r="67">
      <c r="A67" s="127"/>
      <c r="B67" s="129"/>
      <c r="C67" s="129"/>
      <c r="D67" s="130"/>
      <c r="E67" s="131"/>
      <c r="F67" s="125"/>
      <c r="G67" s="125"/>
      <c r="H67" s="124"/>
      <c r="I67" s="124"/>
      <c r="J67" s="125"/>
      <c r="K67" s="124"/>
      <c r="L67" s="124"/>
      <c r="M67" s="132"/>
      <c r="N67" s="132"/>
      <c r="O67" s="141">
        <f>SUM(O63:O66)</f>
        <v>0</v>
      </c>
      <c r="P67" s="79">
        <f>P66</f>
        <v>31</v>
      </c>
      <c r="Q67" s="132"/>
      <c r="R67" s="132"/>
      <c r="S67" s="141">
        <f>SUM(S63:S66)</f>
        <v>6</v>
      </c>
      <c r="T67" s="79">
        <f>T66</f>
        <v>38</v>
      </c>
      <c r="U67" s="132"/>
      <c r="V67" s="132"/>
      <c r="W67" s="141">
        <f>SUM(W63:W66)</f>
        <v>0</v>
      </c>
      <c r="X67" s="79">
        <f>X66</f>
        <v>36.5</v>
      </c>
      <c r="Y67" s="132"/>
      <c r="Z67" s="132"/>
      <c r="AA67" s="141">
        <f>SUM(AA63:AA66)</f>
        <v>1</v>
      </c>
      <c r="AB67" s="79">
        <f>AB66</f>
        <v>38</v>
      </c>
      <c r="AC67" s="132"/>
      <c r="AD67" s="132"/>
      <c r="AE67" s="141">
        <f>SUM(AE63:AE66)</f>
        <v>2</v>
      </c>
      <c r="AF67" s="79">
        <f>AF66</f>
        <v>37</v>
      </c>
      <c r="AG67" s="132"/>
      <c r="AH67" s="132"/>
      <c r="AI67" s="141">
        <f>SUM(AI63:AI66)</f>
        <v>4.5</v>
      </c>
      <c r="AJ67" s="79">
        <f>AJ66</f>
        <v>54</v>
      </c>
      <c r="AK67" s="132"/>
      <c r="AL67" s="132"/>
      <c r="AM67" s="141">
        <f>SUM(AM63:AM66)</f>
        <v>3</v>
      </c>
      <c r="AN67" s="79">
        <f>AN66</f>
        <v>43.5</v>
      </c>
    </row>
    <row r="68">
      <c r="A68" s="127">
        <v>61.0</v>
      </c>
      <c r="B68" s="133">
        <v>6.0</v>
      </c>
      <c r="C68" s="133" t="s">
        <v>129</v>
      </c>
      <c r="D68" s="134">
        <v>44908.0</v>
      </c>
      <c r="E68" s="135">
        <v>0.9166666666666666</v>
      </c>
      <c r="F68" s="4"/>
      <c r="G68" s="4" t="s">
        <v>136</v>
      </c>
      <c r="H68" s="133">
        <v>0.0</v>
      </c>
      <c r="I68" s="133">
        <v>3.0</v>
      </c>
      <c r="J68" s="4" t="s">
        <v>76</v>
      </c>
      <c r="K68" s="126"/>
      <c r="L68" s="126"/>
      <c r="M68" s="33">
        <v>2.0</v>
      </c>
      <c r="N68" s="33">
        <v>1.0</v>
      </c>
      <c r="O68" s="8">
        <f t="shared" ref="O68:O69" si="15">score($H68, $I68, M68, N68)</f>
        <v>0</v>
      </c>
      <c r="P68" s="79">
        <f t="shared" ref="P68:P69" si="16">P67+O68</f>
        <v>31</v>
      </c>
      <c r="Q68" s="34">
        <v>1.0</v>
      </c>
      <c r="R68" s="34">
        <v>2.0</v>
      </c>
      <c r="S68" s="11">
        <f t="shared" ref="S68:S69" si="17">score($H68, $I68, Q68, R68)</f>
        <v>1</v>
      </c>
      <c r="T68" s="79">
        <f t="shared" ref="T68:T69" si="18">T67+S68</f>
        <v>39</v>
      </c>
      <c r="U68" s="35">
        <v>1.0</v>
      </c>
      <c r="V68" s="35">
        <v>2.0</v>
      </c>
      <c r="W68" s="13">
        <f t="shared" ref="W68:W69" si="19">score($H68, $I68, U68, V68)</f>
        <v>1</v>
      </c>
      <c r="X68" s="79">
        <f t="shared" ref="X68:X69" si="20">X67+W68</f>
        <v>37.5</v>
      </c>
      <c r="Y68" s="36">
        <v>2.0</v>
      </c>
      <c r="Z68" s="36">
        <v>3.0</v>
      </c>
      <c r="AA68" s="15">
        <f t="shared" ref="AA68:AA69" si="21">score($H68, $I68, Y68, Z68)</f>
        <v>1</v>
      </c>
      <c r="AB68" s="79">
        <f t="shared" ref="AB68:AB69" si="22">AB67+AA68</f>
        <v>39</v>
      </c>
      <c r="AC68" s="37">
        <v>2.0</v>
      </c>
      <c r="AD68" s="37">
        <v>1.0</v>
      </c>
      <c r="AE68" s="17">
        <f t="shared" ref="AE68:AE69" si="23">score($H68, $I68, AC68, AD68)</f>
        <v>0</v>
      </c>
      <c r="AF68" s="79">
        <f t="shared" ref="AF68:AF69" si="24">AF67+AE68</f>
        <v>37</v>
      </c>
      <c r="AG68" s="38">
        <v>1.0</v>
      </c>
      <c r="AH68" s="38">
        <v>1.0</v>
      </c>
      <c r="AI68" s="19">
        <f t="shared" ref="AI68:AI69" si="25">score($H68, $I68, AG68, AH68)</f>
        <v>0</v>
      </c>
      <c r="AJ68" s="79">
        <f t="shared" ref="AJ68:AJ69" si="26">AJ67+AI68</f>
        <v>54</v>
      </c>
      <c r="AK68" s="39">
        <v>1.0</v>
      </c>
      <c r="AL68" s="39">
        <v>0.0</v>
      </c>
      <c r="AM68" s="21">
        <f t="shared" ref="AM68:AM69" si="27">score($H68, $I68, AK68, AL68)</f>
        <v>0</v>
      </c>
      <c r="AN68" s="79">
        <f t="shared" ref="AN68:AN69" si="28">AN67+AM68</f>
        <v>43.5</v>
      </c>
    </row>
    <row r="69">
      <c r="A69" s="136">
        <v>62.0</v>
      </c>
      <c r="B69" s="137">
        <v>6.0</v>
      </c>
      <c r="C69" s="137" t="s">
        <v>134</v>
      </c>
      <c r="D69" s="138">
        <v>44909.0</v>
      </c>
      <c r="E69" s="139">
        <v>0.9166666666666666</v>
      </c>
      <c r="F69" s="43"/>
      <c r="G69" s="43" t="s">
        <v>36</v>
      </c>
      <c r="H69" s="137">
        <v>2.0</v>
      </c>
      <c r="I69" s="137">
        <v>0.0</v>
      </c>
      <c r="J69" s="43" t="s">
        <v>135</v>
      </c>
      <c r="K69" s="140"/>
      <c r="L69" s="140"/>
      <c r="M69" s="44">
        <v>1.0</v>
      </c>
      <c r="N69" s="44">
        <v>0.0</v>
      </c>
      <c r="O69" s="58">
        <f t="shared" si="15"/>
        <v>1</v>
      </c>
      <c r="P69" s="89">
        <f t="shared" si="16"/>
        <v>32</v>
      </c>
      <c r="Q69" s="45">
        <v>2.0</v>
      </c>
      <c r="R69" s="45">
        <v>0.0</v>
      </c>
      <c r="S69" s="60">
        <f t="shared" si="17"/>
        <v>3</v>
      </c>
      <c r="T69" s="89">
        <f t="shared" si="18"/>
        <v>42</v>
      </c>
      <c r="U69" s="46">
        <v>2.0</v>
      </c>
      <c r="V69" s="46">
        <v>0.0</v>
      </c>
      <c r="W69" s="62">
        <f t="shared" si="19"/>
        <v>3</v>
      </c>
      <c r="X69" s="89">
        <f t="shared" si="20"/>
        <v>40.5</v>
      </c>
      <c r="Y69" s="47">
        <v>3.0</v>
      </c>
      <c r="Z69" s="47">
        <v>1.0</v>
      </c>
      <c r="AA69" s="64">
        <f t="shared" si="21"/>
        <v>2</v>
      </c>
      <c r="AB69" s="89">
        <f t="shared" si="22"/>
        <v>41</v>
      </c>
      <c r="AC69" s="48">
        <v>3.0</v>
      </c>
      <c r="AD69" s="48">
        <v>0.0</v>
      </c>
      <c r="AE69" s="66">
        <f t="shared" si="23"/>
        <v>1</v>
      </c>
      <c r="AF69" s="89">
        <f t="shared" si="24"/>
        <v>38</v>
      </c>
      <c r="AG69" s="49">
        <v>2.0</v>
      </c>
      <c r="AH69" s="49">
        <v>0.0</v>
      </c>
      <c r="AI69" s="68">
        <f t="shared" si="25"/>
        <v>3</v>
      </c>
      <c r="AJ69" s="89">
        <f t="shared" si="26"/>
        <v>57</v>
      </c>
      <c r="AK69" s="50">
        <v>2.0</v>
      </c>
      <c r="AL69" s="50">
        <v>1.0</v>
      </c>
      <c r="AM69" s="70">
        <f t="shared" si="27"/>
        <v>1</v>
      </c>
      <c r="AN69" s="89">
        <f t="shared" si="28"/>
        <v>44.5</v>
      </c>
    </row>
    <row r="70">
      <c r="A70" s="127"/>
      <c r="B70" s="129"/>
      <c r="C70" s="129"/>
      <c r="D70" s="130"/>
      <c r="E70" s="131"/>
      <c r="F70" s="125"/>
      <c r="G70" s="125"/>
      <c r="H70" s="124"/>
      <c r="I70" s="124"/>
      <c r="J70" s="125"/>
      <c r="K70" s="124"/>
      <c r="L70" s="124"/>
      <c r="M70" s="132"/>
      <c r="N70" s="132"/>
      <c r="O70" s="141">
        <f>SUM(O68:O69)</f>
        <v>1</v>
      </c>
      <c r="P70" s="79">
        <f>P69</f>
        <v>32</v>
      </c>
      <c r="Q70" s="132"/>
      <c r="R70" s="132"/>
      <c r="S70" s="141">
        <f>SUM(S68:S69)</f>
        <v>4</v>
      </c>
      <c r="T70" s="79">
        <f>T69</f>
        <v>42</v>
      </c>
      <c r="U70" s="132"/>
      <c r="V70" s="132"/>
      <c r="W70" s="141">
        <f>SUM(W68:W69)</f>
        <v>4</v>
      </c>
      <c r="X70" s="79">
        <f>X69</f>
        <v>40.5</v>
      </c>
      <c r="Y70" s="132"/>
      <c r="Z70" s="132"/>
      <c r="AA70" s="141">
        <f>SUM(AA68:AA69)</f>
        <v>3</v>
      </c>
      <c r="AB70" s="79">
        <f>AB69</f>
        <v>41</v>
      </c>
      <c r="AC70" s="132"/>
      <c r="AD70" s="132"/>
      <c r="AE70" s="141">
        <f>SUM(AE68:AE69)</f>
        <v>1</v>
      </c>
      <c r="AF70" s="79">
        <f>AF69</f>
        <v>38</v>
      </c>
      <c r="AG70" s="132"/>
      <c r="AH70" s="132"/>
      <c r="AI70" s="141">
        <f>SUM(AI68:AI69)</f>
        <v>3</v>
      </c>
      <c r="AJ70" s="79">
        <f>AJ69</f>
        <v>57</v>
      </c>
      <c r="AK70" s="132"/>
      <c r="AL70" s="132"/>
      <c r="AM70" s="141">
        <f>SUM(AM68:AM69)</f>
        <v>1</v>
      </c>
      <c r="AN70" s="79">
        <f>AN69</f>
        <v>44.5</v>
      </c>
    </row>
    <row r="71">
      <c r="A71" s="127">
        <v>63.0</v>
      </c>
      <c r="B71" s="133">
        <v>7.0</v>
      </c>
      <c r="C71" s="133" t="s">
        <v>146</v>
      </c>
      <c r="D71" s="134">
        <v>44912.0</v>
      </c>
      <c r="E71" s="135">
        <v>0.9166666666666666</v>
      </c>
      <c r="F71" s="4"/>
      <c r="G71" s="4" t="s">
        <v>136</v>
      </c>
      <c r="H71" s="133">
        <v>2.0</v>
      </c>
      <c r="I71" s="133">
        <v>1.0</v>
      </c>
      <c r="J71" s="4" t="s">
        <v>135</v>
      </c>
      <c r="K71" s="126"/>
      <c r="L71" s="126"/>
      <c r="M71" s="33">
        <v>2.0</v>
      </c>
      <c r="N71" s="33">
        <v>0.0</v>
      </c>
      <c r="O71" s="8">
        <f t="shared" ref="O71:O72" si="29">score($H71, $I71, M71, N71)</f>
        <v>1</v>
      </c>
      <c r="P71" s="79">
        <f t="shared" ref="P71:P72" si="30">P70+O71</f>
        <v>33</v>
      </c>
      <c r="Q71" s="34">
        <v>2.0</v>
      </c>
      <c r="R71" s="34">
        <v>1.0</v>
      </c>
      <c r="S71" s="142">
        <f t="shared" ref="S71:S72" si="31">score($H71, $I71, Q71, R71)</f>
        <v>3</v>
      </c>
      <c r="T71" s="79">
        <f t="shared" ref="T71:T72" si="32">T70+S71</f>
        <v>45</v>
      </c>
      <c r="U71" s="35">
        <v>1.0</v>
      </c>
      <c r="V71" s="35">
        <v>0.0</v>
      </c>
      <c r="W71" s="13">
        <f t="shared" ref="W71:W72" si="33">score($H71, $I71, U71, V71)</f>
        <v>2</v>
      </c>
      <c r="X71" s="79">
        <f t="shared" ref="X71:X72" si="34">X70+W71</f>
        <v>42.5</v>
      </c>
      <c r="Y71" s="36">
        <v>2.0</v>
      </c>
      <c r="Z71" s="36">
        <v>1.0</v>
      </c>
      <c r="AA71" s="143">
        <v>0.0</v>
      </c>
      <c r="AB71" s="79">
        <f t="shared" ref="AB71:AB72" si="35">AB70+AA71</f>
        <v>41</v>
      </c>
      <c r="AC71" s="37">
        <v>0.0</v>
      </c>
      <c r="AD71" s="37">
        <v>1.0</v>
      </c>
      <c r="AE71" s="17">
        <f t="shared" ref="AE71:AE72" si="36">score($H71, $I71, AC71, AD71)</f>
        <v>0</v>
      </c>
      <c r="AF71" s="79">
        <f t="shared" ref="AF71:AF72" si="37">AF70+AE71</f>
        <v>38</v>
      </c>
      <c r="AG71" s="38">
        <v>2.0</v>
      </c>
      <c r="AH71" s="38">
        <v>1.0</v>
      </c>
      <c r="AI71" s="19">
        <f t="shared" ref="AI71:AI72" si="38">score($H71, $I71, AG71, AH71)</f>
        <v>3</v>
      </c>
      <c r="AJ71" s="79">
        <f t="shared" ref="AJ71:AJ72" si="39">AJ70+AI71</f>
        <v>60</v>
      </c>
      <c r="AK71" s="39">
        <v>1.0</v>
      </c>
      <c r="AL71" s="39">
        <v>1.0</v>
      </c>
      <c r="AM71" s="144">
        <f t="shared" ref="AM71:AM72" si="40">score($H71, $I71, AK71, AL71)</f>
        <v>0</v>
      </c>
      <c r="AN71" s="79">
        <f t="shared" ref="AN71:AN72" si="41">AN70+AM71</f>
        <v>44.5</v>
      </c>
    </row>
    <row r="72">
      <c r="A72" s="136">
        <v>64.0</v>
      </c>
      <c r="B72" s="137">
        <v>7.0</v>
      </c>
      <c r="C72" s="137" t="s">
        <v>121</v>
      </c>
      <c r="D72" s="138">
        <v>44913.0</v>
      </c>
      <c r="E72" s="139">
        <v>0.9166666666666666</v>
      </c>
      <c r="F72" s="43"/>
      <c r="G72" s="43" t="s">
        <v>76</v>
      </c>
      <c r="H72" s="137">
        <v>3.0</v>
      </c>
      <c r="I72" s="137">
        <v>3.0</v>
      </c>
      <c r="J72" s="43" t="s">
        <v>36</v>
      </c>
      <c r="K72" s="140"/>
      <c r="L72" s="140"/>
      <c r="M72" s="44">
        <v>1.0</v>
      </c>
      <c r="N72" s="44">
        <v>3.0</v>
      </c>
      <c r="O72" s="58">
        <f t="shared" si="29"/>
        <v>0</v>
      </c>
      <c r="P72" s="89">
        <f t="shared" si="30"/>
        <v>33</v>
      </c>
      <c r="Q72" s="45">
        <v>1.0</v>
      </c>
      <c r="R72" s="45">
        <v>2.0</v>
      </c>
      <c r="S72" s="60">
        <f t="shared" si="31"/>
        <v>0</v>
      </c>
      <c r="T72" s="89">
        <f t="shared" si="32"/>
        <v>45</v>
      </c>
      <c r="U72" s="46">
        <v>1.0</v>
      </c>
      <c r="V72" s="46">
        <v>2.0</v>
      </c>
      <c r="W72" s="62">
        <f t="shared" si="33"/>
        <v>0</v>
      </c>
      <c r="X72" s="89">
        <f t="shared" si="34"/>
        <v>42.5</v>
      </c>
      <c r="Y72" s="47">
        <v>1.0</v>
      </c>
      <c r="Z72" s="47">
        <v>2.0</v>
      </c>
      <c r="AA72" s="64">
        <f>score($H72, $I72, Y72, Z72)</f>
        <v>0</v>
      </c>
      <c r="AB72" s="89">
        <f t="shared" si="35"/>
        <v>41</v>
      </c>
      <c r="AC72" s="48">
        <v>1.0</v>
      </c>
      <c r="AD72" s="48">
        <v>2.0</v>
      </c>
      <c r="AE72" s="66">
        <f t="shared" si="36"/>
        <v>0</v>
      </c>
      <c r="AF72" s="89">
        <f t="shared" si="37"/>
        <v>38</v>
      </c>
      <c r="AG72" s="49">
        <v>1.0</v>
      </c>
      <c r="AH72" s="49">
        <v>1.0</v>
      </c>
      <c r="AI72" s="68">
        <f t="shared" si="38"/>
        <v>1.5</v>
      </c>
      <c r="AJ72" s="89">
        <f t="shared" si="39"/>
        <v>61.5</v>
      </c>
      <c r="AK72" s="50">
        <v>1.0</v>
      </c>
      <c r="AL72" s="50">
        <v>2.0</v>
      </c>
      <c r="AM72" s="70">
        <f t="shared" si="40"/>
        <v>0</v>
      </c>
      <c r="AN72" s="89">
        <f t="shared" si="41"/>
        <v>44.5</v>
      </c>
    </row>
    <row r="73">
      <c r="A73" s="145">
        <v>6.0</v>
      </c>
      <c r="B73" s="124"/>
      <c r="C73" s="124"/>
      <c r="D73" s="146"/>
      <c r="E73" s="124"/>
      <c r="F73" s="132"/>
      <c r="G73" s="132"/>
      <c r="H73" s="124"/>
      <c r="I73" s="124"/>
      <c r="J73" s="132"/>
      <c r="K73" s="124"/>
      <c r="L73" s="124"/>
      <c r="M73" s="132"/>
      <c r="N73" s="132"/>
      <c r="O73" s="141">
        <f>SUM(O71:O72)</f>
        <v>1</v>
      </c>
      <c r="P73" s="79">
        <f>P72</f>
        <v>33</v>
      </c>
      <c r="Q73" s="132"/>
      <c r="R73" s="132"/>
      <c r="S73" s="141">
        <f>SUM(S71:S72)</f>
        <v>3</v>
      </c>
      <c r="T73" s="79">
        <f>T72</f>
        <v>45</v>
      </c>
      <c r="U73" s="132"/>
      <c r="V73" s="132"/>
      <c r="W73" s="141">
        <f>SUM(W71:W72)</f>
        <v>2</v>
      </c>
      <c r="X73" s="79">
        <f>X72</f>
        <v>42.5</v>
      </c>
      <c r="Y73" s="132"/>
      <c r="Z73" s="132"/>
      <c r="AA73" s="141">
        <f>SUM(AA71:AA72)</f>
        <v>0</v>
      </c>
      <c r="AB73" s="79">
        <f>AB72</f>
        <v>41</v>
      </c>
      <c r="AC73" s="132"/>
      <c r="AD73" s="132"/>
      <c r="AE73" s="141">
        <f>SUM(AE71:AE72)</f>
        <v>0</v>
      </c>
      <c r="AF73" s="79">
        <f>AF72</f>
        <v>38</v>
      </c>
      <c r="AG73" s="132"/>
      <c r="AH73" s="132"/>
      <c r="AI73" s="141">
        <f>SUM(AI71:AI72)</f>
        <v>4.5</v>
      </c>
      <c r="AJ73" s="79">
        <f>AJ72</f>
        <v>61.5</v>
      </c>
      <c r="AK73" s="132"/>
      <c r="AL73" s="132"/>
      <c r="AM73" s="141">
        <f>SUM(AM71:AM72)</f>
        <v>0</v>
      </c>
      <c r="AN73" s="79">
        <f>AN72</f>
        <v>44.5</v>
      </c>
    </row>
  </sheetData>
  <mergeCells count="9">
    <mergeCell ref="M1:N1"/>
    <mergeCell ref="K2:L2"/>
    <mergeCell ref="A1:J1"/>
    <mergeCell ref="Q1:R1"/>
    <mergeCell ref="U1:V1"/>
    <mergeCell ref="Y1:Z1"/>
    <mergeCell ref="AC1:AD1"/>
    <mergeCell ref="AG1:AH1"/>
    <mergeCell ref="AK1:AL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7" t="s">
        <v>70</v>
      </c>
      <c r="B1" s="4">
        <v>2648.0</v>
      </c>
    </row>
    <row r="2">
      <c r="A2" s="148" t="s">
        <v>80</v>
      </c>
      <c r="B2" s="4">
        <v>7803.0</v>
      </c>
    </row>
    <row r="3">
      <c r="A3" s="149" t="s">
        <v>151</v>
      </c>
      <c r="B3" s="4">
        <v>6641.0</v>
      </c>
    </row>
    <row r="4">
      <c r="A4" s="150" t="s">
        <v>62</v>
      </c>
      <c r="B4" s="4">
        <v>8934.0</v>
      </c>
    </row>
    <row r="5">
      <c r="A5" s="151" t="s">
        <v>39</v>
      </c>
      <c r="B5" s="4">
        <v>2269.0</v>
      </c>
    </row>
    <row r="6">
      <c r="A6" s="152" t="s">
        <v>77</v>
      </c>
      <c r="B6" s="4">
        <v>6025.0</v>
      </c>
    </row>
    <row r="7">
      <c r="A7" s="153" t="s">
        <v>51</v>
      </c>
      <c r="B7" s="4">
        <v>5589.0</v>
      </c>
    </row>
    <row r="8">
      <c r="A8" s="154" t="s">
        <v>21</v>
      </c>
      <c r="B8" s="4">
        <v>2279.0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5.63"/>
    <col customWidth="1" min="3" max="9" width="3.88"/>
  </cols>
  <sheetData>
    <row r="1">
      <c r="A1" s="9"/>
      <c r="B1" s="9" t="s">
        <v>152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</row>
    <row r="2">
      <c r="A2" s="4">
        <v>1.0</v>
      </c>
      <c r="B2" s="4" t="s">
        <v>122</v>
      </c>
      <c r="C2" s="4">
        <v>2.0</v>
      </c>
      <c r="D2" s="4">
        <v>0.0</v>
      </c>
      <c r="E2" s="4">
        <v>0.0</v>
      </c>
      <c r="F2" s="4">
        <v>2.0</v>
      </c>
      <c r="G2" s="4">
        <v>1.0</v>
      </c>
      <c r="H2" s="4">
        <v>5.0</v>
      </c>
      <c r="I2" s="155">
        <f t="shared" ref="I2:I5" si="1">G2-H2</f>
        <v>-4</v>
      </c>
      <c r="J2" s="4">
        <f t="shared" ref="J2:J5" si="2">(D2*3)+(E2*1)</f>
        <v>0</v>
      </c>
      <c r="K2" s="155">
        <f t="shared" ref="K2:K5" si="3">RANK(J2, $J$2:$J$5)+(COUNTIFS(J:J,J2,I:I,"&lt;="&amp;I2)-1)+COUNTIFS(J:J,J2,I:I,"&lt;="&amp;I2, A:A,"&lt;="&amp;A2)-2</f>
        <v>3</v>
      </c>
      <c r="L2" s="155" t="str">
        <f t="array" ref="L2">INDEX($B$2:$B$5, MATCH(1, $K$2:$K$5, 0))</f>
        <v>Ecuador</v>
      </c>
      <c r="N2" s="156"/>
    </row>
    <row r="3">
      <c r="A3" s="4">
        <v>2.0</v>
      </c>
      <c r="B3" s="4" t="s">
        <v>123</v>
      </c>
      <c r="C3" s="4">
        <v>2.0</v>
      </c>
      <c r="D3" s="4">
        <v>1.0</v>
      </c>
      <c r="E3" s="4">
        <v>1.0</v>
      </c>
      <c r="F3" s="4">
        <v>0.0</v>
      </c>
      <c r="G3" s="4">
        <v>3.0</v>
      </c>
      <c r="H3" s="4">
        <v>1.0</v>
      </c>
      <c r="I3" s="155">
        <f t="shared" si="1"/>
        <v>2</v>
      </c>
      <c r="J3" s="4">
        <f t="shared" si="2"/>
        <v>4</v>
      </c>
      <c r="K3" s="155">
        <f t="shared" si="3"/>
        <v>1</v>
      </c>
      <c r="L3" s="155" t="str">
        <f t="array" ref="L3">INDEX($B$2:$B$5, MATCH(2, $K$2:$K$5, 0))</f>
        <v>Senegal</v>
      </c>
      <c r="N3" s="156"/>
    </row>
    <row r="4">
      <c r="A4" s="4">
        <v>3.0</v>
      </c>
      <c r="B4" s="4" t="s">
        <v>125</v>
      </c>
      <c r="C4" s="4">
        <v>2.0</v>
      </c>
      <c r="D4" s="4">
        <v>1.0</v>
      </c>
      <c r="E4" s="4">
        <v>0.0</v>
      </c>
      <c r="F4" s="4">
        <v>1.0</v>
      </c>
      <c r="G4" s="4">
        <v>3.0</v>
      </c>
      <c r="H4" s="4">
        <v>3.0</v>
      </c>
      <c r="I4" s="155">
        <f t="shared" si="1"/>
        <v>0</v>
      </c>
      <c r="J4" s="4">
        <f t="shared" si="2"/>
        <v>3</v>
      </c>
      <c r="K4" s="155">
        <f t="shared" si="3"/>
        <v>2</v>
      </c>
      <c r="L4" s="155" t="str">
        <f t="array" ref="L4">INDEX($B$2:$B$5, MATCH(3, $K$2:$K$5, 0))</f>
        <v>Qatar</v>
      </c>
      <c r="N4" s="156"/>
    </row>
    <row r="5">
      <c r="A5" s="4">
        <v>4.0</v>
      </c>
      <c r="B5" s="4" t="s">
        <v>79</v>
      </c>
      <c r="C5" s="4">
        <v>2.0</v>
      </c>
      <c r="D5" s="4">
        <v>1.0</v>
      </c>
      <c r="E5" s="4">
        <v>1.0</v>
      </c>
      <c r="F5" s="4">
        <v>0.0</v>
      </c>
      <c r="G5" s="4">
        <v>3.0</v>
      </c>
      <c r="H5" s="4">
        <v>1.0</v>
      </c>
      <c r="I5" s="155">
        <f t="shared" si="1"/>
        <v>2</v>
      </c>
      <c r="J5" s="4">
        <f t="shared" si="2"/>
        <v>4</v>
      </c>
      <c r="K5" s="155">
        <f t="shared" si="3"/>
        <v>2</v>
      </c>
      <c r="L5" s="155" t="str">
        <f t="array" ref="L5">INDEX($B$2:$B$5, MATCH(4, $K$2:$K$5, 0))</f>
        <v>#N/A</v>
      </c>
      <c r="N5" s="15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5.63"/>
    <col customWidth="1" min="3" max="9" width="3.88"/>
  </cols>
  <sheetData>
    <row r="1">
      <c r="A1" s="9"/>
      <c r="B1" s="9" t="s">
        <v>152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</row>
    <row r="2">
      <c r="A2" s="4">
        <v>1.0</v>
      </c>
      <c r="B2" s="4" t="s">
        <v>61</v>
      </c>
      <c r="C2" s="4">
        <v>2.0</v>
      </c>
      <c r="D2" s="4">
        <v>1.0</v>
      </c>
      <c r="E2" s="4">
        <v>1.0</v>
      </c>
      <c r="F2" s="4">
        <v>0.0</v>
      </c>
      <c r="G2" s="4">
        <v>6.0</v>
      </c>
      <c r="H2" s="4">
        <v>2.0</v>
      </c>
      <c r="I2" s="155">
        <f t="shared" ref="I2:I5" si="1">G2-H2</f>
        <v>4</v>
      </c>
      <c r="J2" s="4">
        <f t="shared" ref="J2:J5" si="2">(D2*3)+(E2*1)</f>
        <v>4</v>
      </c>
      <c r="K2" s="155">
        <f t="shared" ref="K2:K5" si="3">RANK(J2, $J$2:$J$5)+(COUNTIFS(J:J,J2,I:I,"&lt;="&amp;I2))+COUNTIFS(J:J,J2,I:I,"&lt;="&amp;I2, A:A,"&lt;="&amp;A2)-2</f>
        <v>1</v>
      </c>
      <c r="L2" s="155" t="str">
        <f t="array" ref="L2">INDEX($B$2:$B$5, MATCH(1, $K$2:$K$5, 0))</f>
        <v>England</v>
      </c>
    </row>
    <row r="3">
      <c r="A3" s="4">
        <v>2.0</v>
      </c>
      <c r="B3" s="4" t="s">
        <v>163</v>
      </c>
      <c r="C3" s="4">
        <v>2.0</v>
      </c>
      <c r="D3" s="4">
        <v>1.0</v>
      </c>
      <c r="E3" s="4">
        <v>0.0</v>
      </c>
      <c r="F3" s="4">
        <v>1.0</v>
      </c>
      <c r="G3" s="4">
        <v>4.0</v>
      </c>
      <c r="H3" s="4">
        <v>6.0</v>
      </c>
      <c r="I3" s="155">
        <f t="shared" si="1"/>
        <v>-2</v>
      </c>
      <c r="J3" s="4">
        <f t="shared" si="2"/>
        <v>3</v>
      </c>
      <c r="K3" s="155">
        <f t="shared" si="3"/>
        <v>2</v>
      </c>
      <c r="L3" s="155" t="str">
        <f t="array" ref="L3">INDEX($B$2:$B$5, MATCH(2, $K$2:$K$5, 0))</f>
        <v>IR Iran</v>
      </c>
    </row>
    <row r="4">
      <c r="A4" s="4">
        <v>3.0</v>
      </c>
      <c r="B4" s="4" t="s">
        <v>147</v>
      </c>
      <c r="C4" s="4">
        <v>2.0</v>
      </c>
      <c r="D4" s="4">
        <v>0.0</v>
      </c>
      <c r="E4" s="4">
        <v>2.0</v>
      </c>
      <c r="F4" s="4">
        <v>0.0</v>
      </c>
      <c r="G4" s="4">
        <v>1.0</v>
      </c>
      <c r="H4" s="4">
        <v>1.0</v>
      </c>
      <c r="I4" s="155">
        <f t="shared" si="1"/>
        <v>0</v>
      </c>
      <c r="J4" s="4">
        <f t="shared" si="2"/>
        <v>2</v>
      </c>
      <c r="K4" s="155">
        <f t="shared" si="3"/>
        <v>3</v>
      </c>
      <c r="L4" s="155" t="str">
        <f t="array" ref="L4">INDEX($B$2:$B$5, MATCH(3, $K$2:$K$5, 0))</f>
        <v>USA</v>
      </c>
    </row>
    <row r="5">
      <c r="A5" s="4">
        <v>4.0</v>
      </c>
      <c r="B5" s="4" t="s">
        <v>128</v>
      </c>
      <c r="C5" s="4">
        <v>2.0</v>
      </c>
      <c r="D5" s="4">
        <v>0.0</v>
      </c>
      <c r="E5" s="4">
        <v>1.0</v>
      </c>
      <c r="F5" s="4">
        <v>1.0</v>
      </c>
      <c r="G5" s="4">
        <v>1.0</v>
      </c>
      <c r="H5" s="4">
        <v>3.0</v>
      </c>
      <c r="I5" s="155">
        <f t="shared" si="1"/>
        <v>-2</v>
      </c>
      <c r="J5" s="4">
        <f t="shared" si="2"/>
        <v>1</v>
      </c>
      <c r="K5" s="155">
        <f t="shared" si="3"/>
        <v>4</v>
      </c>
      <c r="L5" s="155" t="str">
        <f t="array" ref="L5">INDEX($B$2:$B$5, MATCH(4, $K$2:$K$5, 0))</f>
        <v>Wales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5.63"/>
    <col customWidth="1" min="3" max="9" width="3.88"/>
  </cols>
  <sheetData>
    <row r="1">
      <c r="A1" s="9"/>
      <c r="B1" s="9" t="s">
        <v>152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</row>
    <row r="2">
      <c r="A2" s="4">
        <v>1.0</v>
      </c>
      <c r="B2" s="4" t="s">
        <v>76</v>
      </c>
      <c r="C2" s="4">
        <v>2.0</v>
      </c>
      <c r="D2" s="4">
        <v>1.0</v>
      </c>
      <c r="E2" s="4">
        <v>0.0</v>
      </c>
      <c r="F2" s="4">
        <v>1.0</v>
      </c>
      <c r="G2" s="4">
        <v>3.0</v>
      </c>
      <c r="H2" s="4">
        <v>2.0</v>
      </c>
      <c r="I2" s="155">
        <f t="shared" ref="I2:I5" si="1">G2-H2</f>
        <v>1</v>
      </c>
      <c r="J2" s="4">
        <f t="shared" ref="J2:J5" si="2">(D2*3)+(E2*1)</f>
        <v>3</v>
      </c>
      <c r="K2" s="155">
        <f t="shared" ref="K2:K5" si="3">RANK(J2, $J$2:$J$5)+SUMPRODUCT(--(J2=$J$2:$J$5),--(I2&lt;$I$2:$I$5))</f>
        <v>2</v>
      </c>
      <c r="L2" s="155" t="str">
        <f t="array" ref="L2">INDEX($B$2:$B$5, MATCH(1, $K$2:$K$5, 0))</f>
        <v>Poland</v>
      </c>
    </row>
    <row r="3">
      <c r="A3" s="4">
        <v>2.0</v>
      </c>
      <c r="B3" s="4" t="s">
        <v>130</v>
      </c>
      <c r="C3" s="4">
        <v>2.0</v>
      </c>
      <c r="D3" s="4">
        <v>1.0</v>
      </c>
      <c r="E3" s="4">
        <v>0.0</v>
      </c>
      <c r="F3" s="4">
        <v>1.0</v>
      </c>
      <c r="G3" s="4">
        <v>2.0</v>
      </c>
      <c r="H3" s="4">
        <v>3.0</v>
      </c>
      <c r="I3" s="155">
        <f t="shared" si="1"/>
        <v>-1</v>
      </c>
      <c r="J3" s="4">
        <f t="shared" si="2"/>
        <v>3</v>
      </c>
      <c r="K3" s="155">
        <f t="shared" si="3"/>
        <v>3</v>
      </c>
      <c r="L3" s="155" t="str">
        <f t="array" ref="L3">INDEX($B$2:$B$5, MATCH(2, $K$2:$K$5, 0))</f>
        <v>Argentina</v>
      </c>
    </row>
    <row r="4">
      <c r="A4" s="4">
        <v>3.0</v>
      </c>
      <c r="B4" s="4" t="s">
        <v>47</v>
      </c>
      <c r="C4" s="4">
        <v>2.0</v>
      </c>
      <c r="D4" s="4">
        <v>0.0</v>
      </c>
      <c r="E4" s="4">
        <v>1.0</v>
      </c>
      <c r="F4" s="4">
        <v>1.0</v>
      </c>
      <c r="G4" s="4">
        <v>0.0</v>
      </c>
      <c r="H4" s="4">
        <v>2.0</v>
      </c>
      <c r="I4" s="155">
        <f t="shared" si="1"/>
        <v>-2</v>
      </c>
      <c r="J4" s="4">
        <f t="shared" si="2"/>
        <v>1</v>
      </c>
      <c r="K4" s="155">
        <f t="shared" si="3"/>
        <v>4</v>
      </c>
      <c r="L4" s="155" t="str">
        <f t="array" ref="L4">INDEX($B$2:$B$5, MATCH(3, $K$2:$K$5, 0))</f>
        <v>Saudi Arabia</v>
      </c>
    </row>
    <row r="5">
      <c r="A5" s="4">
        <v>4.0</v>
      </c>
      <c r="B5" s="4" t="s">
        <v>132</v>
      </c>
      <c r="C5" s="4">
        <v>2.0</v>
      </c>
      <c r="D5" s="4">
        <v>1.0</v>
      </c>
      <c r="E5" s="4">
        <v>1.0</v>
      </c>
      <c r="F5" s="4">
        <v>0.0</v>
      </c>
      <c r="G5" s="4">
        <v>2.0</v>
      </c>
      <c r="H5" s="4">
        <v>0.0</v>
      </c>
      <c r="I5" s="155">
        <f t="shared" si="1"/>
        <v>2</v>
      </c>
      <c r="J5" s="4">
        <f t="shared" si="2"/>
        <v>4</v>
      </c>
      <c r="K5" s="155">
        <f t="shared" si="3"/>
        <v>1</v>
      </c>
      <c r="L5" s="155" t="str">
        <f t="array" ref="L5">INDEX($B$2:$B$5, MATCH(4, $K$2:$K$5, 0))</f>
        <v>Mexico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5.63"/>
    <col customWidth="1" min="3" max="9" width="3.88"/>
  </cols>
  <sheetData>
    <row r="1">
      <c r="A1" s="9"/>
      <c r="B1" s="9" t="s">
        <v>152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</row>
    <row r="2">
      <c r="A2" s="4">
        <v>1.0</v>
      </c>
      <c r="B2" s="4" t="s">
        <v>36</v>
      </c>
      <c r="C2" s="4">
        <v>2.0</v>
      </c>
      <c r="D2" s="4">
        <v>2.0</v>
      </c>
      <c r="E2" s="4">
        <v>0.0</v>
      </c>
      <c r="F2" s="4">
        <v>0.0</v>
      </c>
      <c r="G2" s="4">
        <v>6.0</v>
      </c>
      <c r="H2" s="4">
        <v>2.0</v>
      </c>
      <c r="I2" s="155">
        <f t="shared" ref="I2:I5" si="1">G2-H2</f>
        <v>4</v>
      </c>
      <c r="J2" s="4">
        <f t="shared" ref="J2:J5" si="2">(D2*3)+(E2*1)</f>
        <v>6</v>
      </c>
      <c r="K2" s="155">
        <f t="shared" ref="K2:K5" si="3">RANK(J2, $J$2:$J$5)+SUMPRODUCT(--(J2=$J$2:$J$5),--(I2&lt;$I$2:$I$5))</f>
        <v>1</v>
      </c>
      <c r="L2" s="155" t="str">
        <f t="array" ref="L2">INDEX($B$2:$B$5, MATCH(1, $K$2:$K$5, 0))</f>
        <v>France</v>
      </c>
    </row>
    <row r="3">
      <c r="A3" s="4">
        <v>2.0</v>
      </c>
      <c r="B3" s="4" t="s">
        <v>133</v>
      </c>
      <c r="C3" s="4">
        <v>2.0</v>
      </c>
      <c r="D3" s="4">
        <v>1.0</v>
      </c>
      <c r="E3" s="4">
        <v>0.0</v>
      </c>
      <c r="F3" s="4">
        <v>1.0</v>
      </c>
      <c r="G3" s="4">
        <v>2.0</v>
      </c>
      <c r="H3" s="4">
        <v>4.0</v>
      </c>
      <c r="I3" s="155">
        <f t="shared" si="1"/>
        <v>-2</v>
      </c>
      <c r="J3" s="4">
        <f t="shared" si="2"/>
        <v>3</v>
      </c>
      <c r="K3" s="155">
        <f t="shared" si="3"/>
        <v>2</v>
      </c>
      <c r="L3" s="155" t="str">
        <f t="array" ref="L3">INDEX($B$2:$B$5, MATCH(2, $K$2:$K$5, 0))</f>
        <v>Australia</v>
      </c>
    </row>
    <row r="4">
      <c r="A4" s="4">
        <v>3.0</v>
      </c>
      <c r="B4" s="4" t="s">
        <v>57</v>
      </c>
      <c r="C4" s="4">
        <v>2.0</v>
      </c>
      <c r="D4" s="4">
        <v>0.0</v>
      </c>
      <c r="E4" s="4">
        <v>1.0</v>
      </c>
      <c r="F4" s="4">
        <v>1.0</v>
      </c>
      <c r="G4" s="4">
        <v>1.0</v>
      </c>
      <c r="H4" s="4">
        <v>2.0</v>
      </c>
      <c r="I4" s="155">
        <f t="shared" si="1"/>
        <v>-1</v>
      </c>
      <c r="J4" s="4">
        <f t="shared" si="2"/>
        <v>1</v>
      </c>
      <c r="K4" s="155">
        <f t="shared" si="3"/>
        <v>3</v>
      </c>
      <c r="L4" s="155" t="str">
        <f t="array" ref="L4">INDEX($B$2:$B$5, MATCH(3, $K$2:$K$5, 0))</f>
        <v>Denmark</v>
      </c>
    </row>
    <row r="5">
      <c r="A5" s="4">
        <v>4.0</v>
      </c>
      <c r="B5" s="4" t="s">
        <v>131</v>
      </c>
      <c r="C5" s="4">
        <v>2.0</v>
      </c>
      <c r="D5" s="4">
        <v>0.0</v>
      </c>
      <c r="E5" s="4">
        <v>1.0</v>
      </c>
      <c r="F5" s="4">
        <v>1.0</v>
      </c>
      <c r="G5" s="4">
        <v>0.0</v>
      </c>
      <c r="H5" s="4">
        <v>1.0</v>
      </c>
      <c r="I5" s="155">
        <f t="shared" si="1"/>
        <v>-1</v>
      </c>
      <c r="J5" s="4">
        <f t="shared" si="2"/>
        <v>1</v>
      </c>
      <c r="K5" s="155">
        <f t="shared" si="3"/>
        <v>3</v>
      </c>
      <c r="L5" s="155" t="str">
        <f t="array" ref="L5">INDEX($B$2:$B$5, MATCH(4, $K$2:$K$5, 0))</f>
        <v>#N/A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5.63"/>
    <col customWidth="1" min="3" max="9" width="3.88"/>
  </cols>
  <sheetData>
    <row r="1">
      <c r="A1" s="9"/>
      <c r="B1" s="9" t="s">
        <v>152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</row>
    <row r="2">
      <c r="A2" s="4">
        <v>1.0</v>
      </c>
      <c r="B2" s="4" t="s">
        <v>138</v>
      </c>
      <c r="C2" s="4">
        <v>2.0</v>
      </c>
      <c r="D2" s="4">
        <v>1.0</v>
      </c>
      <c r="E2" s="4">
        <v>0.0</v>
      </c>
      <c r="F2" s="4">
        <v>1.0</v>
      </c>
      <c r="G2" s="4">
        <v>1.0</v>
      </c>
      <c r="H2" s="4">
        <v>2.0</v>
      </c>
      <c r="I2" s="155">
        <f t="shared" ref="I2:I5" si="1">G2-H2</f>
        <v>-1</v>
      </c>
      <c r="J2" s="4">
        <f t="shared" ref="J2:J5" si="2">(D2*3)+(E2*1)</f>
        <v>3</v>
      </c>
      <c r="K2" s="155">
        <f t="shared" ref="K2:K5" si="3">RANK(J2, $J$2:$J$5)+SUMPRODUCT(--(J2=$J$2:$J$5),--(I2&lt;$I$2:$I$5))</f>
        <v>3</v>
      </c>
      <c r="L2" s="155" t="str">
        <f t="array" ref="L2">INDEX($B$2:$B$5, MATCH(1, $K$2:$K$5, 0))</f>
        <v>Croatia</v>
      </c>
    </row>
    <row r="3">
      <c r="A3" s="4">
        <v>2.0</v>
      </c>
      <c r="B3" s="4" t="s">
        <v>139</v>
      </c>
      <c r="C3" s="4">
        <v>2.0</v>
      </c>
      <c r="D3" s="4">
        <v>0.0</v>
      </c>
      <c r="E3" s="4">
        <v>0.0</v>
      </c>
      <c r="F3" s="4">
        <v>2.0</v>
      </c>
      <c r="G3" s="4">
        <v>1.0</v>
      </c>
      <c r="H3" s="4">
        <v>5.0</v>
      </c>
      <c r="I3" s="155">
        <f t="shared" si="1"/>
        <v>-4</v>
      </c>
      <c r="J3" s="4">
        <f t="shared" si="2"/>
        <v>0</v>
      </c>
      <c r="K3" s="155">
        <f t="shared" si="3"/>
        <v>4</v>
      </c>
      <c r="L3" s="155" t="str">
        <f t="array" ref="L3">INDEX($B$2:$B$5, MATCH(2, $K$2:$K$5, 0))</f>
        <v>Morocco</v>
      </c>
    </row>
    <row r="4">
      <c r="A4" s="4">
        <v>3.0</v>
      </c>
      <c r="B4" s="4" t="s">
        <v>135</v>
      </c>
      <c r="C4" s="4">
        <v>2.0</v>
      </c>
      <c r="D4" s="4">
        <v>1.0</v>
      </c>
      <c r="E4" s="4">
        <v>1.0</v>
      </c>
      <c r="F4" s="4">
        <v>0.0</v>
      </c>
      <c r="G4" s="4">
        <v>2.0</v>
      </c>
      <c r="H4" s="4">
        <v>0.0</v>
      </c>
      <c r="I4" s="155">
        <f t="shared" si="1"/>
        <v>2</v>
      </c>
      <c r="J4" s="4">
        <f t="shared" si="2"/>
        <v>4</v>
      </c>
      <c r="K4" s="155">
        <f t="shared" si="3"/>
        <v>2</v>
      </c>
      <c r="L4" s="155" t="str">
        <f t="array" ref="L4">INDEX($B$2:$B$5, MATCH(3, $K$2:$K$5, 0))</f>
        <v>Belgium</v>
      </c>
    </row>
    <row r="5">
      <c r="A5" s="4">
        <v>4.0</v>
      </c>
      <c r="B5" s="4" t="s">
        <v>136</v>
      </c>
      <c r="C5" s="4">
        <v>2.0</v>
      </c>
      <c r="D5" s="4">
        <v>1.0</v>
      </c>
      <c r="E5" s="4">
        <v>1.0</v>
      </c>
      <c r="F5" s="4">
        <v>0.0</v>
      </c>
      <c r="G5" s="4">
        <v>4.0</v>
      </c>
      <c r="H5" s="4">
        <v>1.0</v>
      </c>
      <c r="I5" s="155">
        <f t="shared" si="1"/>
        <v>3</v>
      </c>
      <c r="J5" s="4">
        <f t="shared" si="2"/>
        <v>4</v>
      </c>
      <c r="K5" s="155">
        <f t="shared" si="3"/>
        <v>1</v>
      </c>
      <c r="L5" s="155" t="str">
        <f t="array" ref="L5">INDEX($B$2:$B$5, MATCH(4, $K$2:$K$5, 0))</f>
        <v>Canada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5.63"/>
    <col customWidth="1" min="3" max="9" width="3.88"/>
  </cols>
  <sheetData>
    <row r="1">
      <c r="A1" s="9"/>
      <c r="B1" s="9" t="s">
        <v>152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</row>
    <row r="2">
      <c r="A2" s="4">
        <v>1.0</v>
      </c>
      <c r="B2" s="4" t="s">
        <v>50</v>
      </c>
      <c r="C2" s="4">
        <v>2.0</v>
      </c>
      <c r="D2" s="4">
        <v>1.0</v>
      </c>
      <c r="E2" s="4">
        <v>1.0</v>
      </c>
      <c r="F2" s="4">
        <v>0.0</v>
      </c>
      <c r="G2" s="4">
        <v>8.0</v>
      </c>
      <c r="H2" s="4">
        <v>1.0</v>
      </c>
      <c r="I2" s="155">
        <f t="shared" ref="I2:I5" si="1">G2-H2</f>
        <v>7</v>
      </c>
      <c r="J2" s="4">
        <f t="shared" ref="J2:J5" si="2">(D2*3)+(E2*1)</f>
        <v>4</v>
      </c>
      <c r="K2" s="155">
        <f t="shared" ref="K2:K5" si="3">RANK(J2, $J$2:$J$5)+SUMPRODUCT(--(J2=$J$2:$J$5),--(I2&lt;$I$2:$I$5))</f>
        <v>1</v>
      </c>
      <c r="L2" s="155" t="str">
        <f t="array" ref="L2">INDEX($B$2:$B$5, MATCH(1, $K$2:$K$5, 0))</f>
        <v>Spain</v>
      </c>
    </row>
    <row r="3">
      <c r="A3" s="4">
        <v>2.0</v>
      </c>
      <c r="B3" s="4" t="s">
        <v>137</v>
      </c>
      <c r="C3" s="4">
        <v>2.0</v>
      </c>
      <c r="D3" s="4">
        <v>1.0</v>
      </c>
      <c r="E3" s="4">
        <v>0.0</v>
      </c>
      <c r="F3" s="4">
        <v>1.0</v>
      </c>
      <c r="G3" s="4">
        <v>1.0</v>
      </c>
      <c r="H3" s="4">
        <v>7.0</v>
      </c>
      <c r="I3" s="155">
        <f t="shared" si="1"/>
        <v>-6</v>
      </c>
      <c r="J3" s="4">
        <f t="shared" si="2"/>
        <v>3</v>
      </c>
      <c r="K3" s="155">
        <f t="shared" si="3"/>
        <v>3</v>
      </c>
      <c r="L3" s="155" t="str">
        <f t="array" ref="L3">INDEX($B$2:$B$5, MATCH(2, $K$2:$K$5, 0))</f>
        <v>Japan</v>
      </c>
    </row>
    <row r="4">
      <c r="A4" s="4">
        <v>3.0</v>
      </c>
      <c r="B4" s="4" t="s">
        <v>37</v>
      </c>
      <c r="C4" s="4">
        <v>2.0</v>
      </c>
      <c r="D4" s="4">
        <v>0.0</v>
      </c>
      <c r="E4" s="4">
        <v>1.0</v>
      </c>
      <c r="F4" s="4">
        <v>1.0</v>
      </c>
      <c r="G4" s="4">
        <v>2.0</v>
      </c>
      <c r="H4" s="4">
        <v>3.0</v>
      </c>
      <c r="I4" s="155">
        <f t="shared" si="1"/>
        <v>-1</v>
      </c>
      <c r="J4" s="4">
        <f t="shared" si="2"/>
        <v>1</v>
      </c>
      <c r="K4" s="155">
        <f t="shared" si="3"/>
        <v>4</v>
      </c>
      <c r="L4" s="155" t="str">
        <f t="array" ref="L4">INDEX($B$2:$B$5, MATCH(3, $K$2:$K$5, 0))</f>
        <v>Costa Rica</v>
      </c>
    </row>
    <row r="5">
      <c r="A5" s="4">
        <v>4.0</v>
      </c>
      <c r="B5" s="4" t="s">
        <v>34</v>
      </c>
      <c r="C5" s="4">
        <v>2.0</v>
      </c>
      <c r="D5" s="4">
        <v>1.0</v>
      </c>
      <c r="E5" s="4">
        <v>0.0</v>
      </c>
      <c r="F5" s="4">
        <v>1.0</v>
      </c>
      <c r="G5" s="4">
        <v>2.0</v>
      </c>
      <c r="H5" s="4">
        <v>2.0</v>
      </c>
      <c r="I5" s="155">
        <f t="shared" si="1"/>
        <v>0</v>
      </c>
      <c r="J5" s="4">
        <f t="shared" si="2"/>
        <v>3</v>
      </c>
      <c r="K5" s="155">
        <f t="shared" si="3"/>
        <v>2</v>
      </c>
      <c r="L5" s="155" t="str">
        <f t="array" ref="L5">INDEX($B$2:$B$5, MATCH(4, $K$2:$K$5, 0))</f>
        <v>Germany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5.63"/>
    <col customWidth="1" min="3" max="9" width="3.88"/>
  </cols>
  <sheetData>
    <row r="1">
      <c r="A1" s="9"/>
      <c r="B1" s="9" t="s">
        <v>152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</row>
    <row r="2">
      <c r="A2" s="4">
        <v>1.0</v>
      </c>
      <c r="B2" s="4" t="s">
        <v>35</v>
      </c>
      <c r="C2" s="4">
        <v>1.0</v>
      </c>
      <c r="D2" s="4">
        <v>1.0</v>
      </c>
      <c r="E2" s="4">
        <v>0.0</v>
      </c>
      <c r="F2" s="4">
        <v>0.0</v>
      </c>
      <c r="G2" s="4">
        <v>2.0</v>
      </c>
      <c r="H2" s="4">
        <v>0.0</v>
      </c>
      <c r="I2" s="155">
        <f t="shared" ref="I2:I5" si="1">G2-H2</f>
        <v>2</v>
      </c>
      <c r="J2" s="4">
        <f t="shared" ref="J2:J5" si="2">(D2*3)+(E2*1)</f>
        <v>3</v>
      </c>
      <c r="K2" s="155">
        <f t="shared" ref="K2:K5" si="3">RANK(J2, $J$2:$J$5)+SUMPRODUCT(--(J2=$J$2:$J$5),--(I2&lt;$I$2:$I$5))</f>
        <v>1</v>
      </c>
      <c r="L2" s="155" t="str">
        <f t="array" ref="L2">INDEX($B$2:$B$5, MATCH(1, $K$2:$K$5, 0))</f>
        <v>Brazil</v>
      </c>
    </row>
    <row r="3">
      <c r="A3" s="4">
        <v>2.0</v>
      </c>
      <c r="B3" s="4" t="s">
        <v>144</v>
      </c>
      <c r="C3" s="4">
        <v>2.0</v>
      </c>
      <c r="D3" s="4">
        <v>0.0</v>
      </c>
      <c r="E3" s="4">
        <v>1.0</v>
      </c>
      <c r="F3" s="4">
        <v>1.0</v>
      </c>
      <c r="G3" s="4">
        <v>3.0</v>
      </c>
      <c r="H3" s="4">
        <v>5.0</v>
      </c>
      <c r="I3" s="155">
        <f t="shared" si="1"/>
        <v>-2</v>
      </c>
      <c r="J3" s="4">
        <f t="shared" si="2"/>
        <v>1</v>
      </c>
      <c r="K3" s="155">
        <f t="shared" si="3"/>
        <v>4</v>
      </c>
      <c r="L3" s="155" t="str">
        <f t="array" ref="L3">INDEX($B$2:$B$5, MATCH(2, $K$2:$K$5, 0))</f>
        <v>Switzerland</v>
      </c>
    </row>
    <row r="4">
      <c r="A4" s="4">
        <v>3.0</v>
      </c>
      <c r="B4" s="4" t="s">
        <v>141</v>
      </c>
      <c r="C4" s="4">
        <v>1.0</v>
      </c>
      <c r="D4" s="4">
        <v>1.0</v>
      </c>
      <c r="E4" s="4">
        <v>0.0</v>
      </c>
      <c r="F4" s="4">
        <v>0.0</v>
      </c>
      <c r="G4" s="4">
        <v>1.0</v>
      </c>
      <c r="H4" s="4">
        <v>0.0</v>
      </c>
      <c r="I4" s="155">
        <f t="shared" si="1"/>
        <v>1</v>
      </c>
      <c r="J4" s="4">
        <f t="shared" si="2"/>
        <v>3</v>
      </c>
      <c r="K4" s="155">
        <f t="shared" si="3"/>
        <v>2</v>
      </c>
      <c r="L4" s="155" t="str">
        <f t="array" ref="L4">INDEX($B$2:$B$5, MATCH(3, $K$2:$K$5, 0))</f>
        <v>Cameroon</v>
      </c>
    </row>
    <row r="5">
      <c r="A5" s="4">
        <v>4.0</v>
      </c>
      <c r="B5" s="4" t="s">
        <v>142</v>
      </c>
      <c r="C5" s="4">
        <v>2.0</v>
      </c>
      <c r="D5" s="4">
        <v>0.0</v>
      </c>
      <c r="E5" s="4">
        <v>1.0</v>
      </c>
      <c r="F5" s="4">
        <v>1.0</v>
      </c>
      <c r="G5" s="4">
        <v>3.0</v>
      </c>
      <c r="H5" s="4">
        <v>4.0</v>
      </c>
      <c r="I5" s="155">
        <f t="shared" si="1"/>
        <v>-1</v>
      </c>
      <c r="J5" s="4">
        <f t="shared" si="2"/>
        <v>1</v>
      </c>
      <c r="K5" s="155">
        <f t="shared" si="3"/>
        <v>3</v>
      </c>
      <c r="L5" s="155" t="str">
        <f t="array" ref="L5">INDEX($B$2:$B$5, MATCH(4, $K$2:$K$5, 0))</f>
        <v>Serbia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.88"/>
    <col customWidth="1" min="2" max="2" width="25.63"/>
    <col customWidth="1" min="3" max="9" width="3.88"/>
    <col customWidth="1" min="10" max="10" width="5.63"/>
    <col customWidth="1" min="11" max="11" width="5.13"/>
  </cols>
  <sheetData>
    <row r="1">
      <c r="A1" s="9"/>
      <c r="B1" s="9" t="s">
        <v>152</v>
      </c>
      <c r="C1" s="9" t="s">
        <v>153</v>
      </c>
      <c r="D1" s="9" t="s">
        <v>154</v>
      </c>
      <c r="E1" s="9" t="s">
        <v>155</v>
      </c>
      <c r="F1" s="9" t="s">
        <v>156</v>
      </c>
      <c r="G1" s="9" t="s">
        <v>157</v>
      </c>
      <c r="H1" s="9" t="s">
        <v>158</v>
      </c>
      <c r="I1" s="9" t="s">
        <v>159</v>
      </c>
      <c r="J1" s="9" t="s">
        <v>160</v>
      </c>
      <c r="K1" s="9" t="s">
        <v>161</v>
      </c>
      <c r="L1" s="9" t="s">
        <v>162</v>
      </c>
    </row>
    <row r="2">
      <c r="A2" s="4">
        <v>1.0</v>
      </c>
      <c r="B2" s="4" t="s">
        <v>58</v>
      </c>
      <c r="C2" s="4">
        <v>2.0</v>
      </c>
      <c r="D2" s="4">
        <v>2.0</v>
      </c>
      <c r="E2" s="4">
        <v>0.0</v>
      </c>
      <c r="F2" s="4">
        <v>0.0</v>
      </c>
      <c r="G2" s="4">
        <v>5.0</v>
      </c>
      <c r="H2" s="4">
        <v>2.0</v>
      </c>
      <c r="I2" s="155">
        <f t="shared" ref="I2:I5" si="1">G2-H2</f>
        <v>3</v>
      </c>
      <c r="J2" s="4">
        <f t="shared" ref="J2:J5" si="2">(D2*3)+(E2*1)</f>
        <v>6</v>
      </c>
      <c r="K2" s="155">
        <f t="shared" ref="K2:K5" si="3">RANK(J2, $J$2:$J$5)+SUMPRODUCT(--(J2=$J$2:$J$5),--(I2&lt;$I$2:$I$5))</f>
        <v>1</v>
      </c>
      <c r="L2" s="155" t="str">
        <f t="array" ref="L2">INDEX($B$2:$B$5, MATCH(1, $K$2:$K$5, 0))</f>
        <v>Portugal</v>
      </c>
    </row>
    <row r="3">
      <c r="A3" s="4">
        <v>2.0</v>
      </c>
      <c r="B3" s="4" t="s">
        <v>48</v>
      </c>
      <c r="C3" s="4">
        <v>2.0</v>
      </c>
      <c r="D3" s="4">
        <v>1.0</v>
      </c>
      <c r="E3" s="4">
        <v>0.0</v>
      </c>
      <c r="F3" s="4">
        <v>1.0</v>
      </c>
      <c r="G3" s="4">
        <v>5.0</v>
      </c>
      <c r="H3" s="4">
        <v>5.0</v>
      </c>
      <c r="I3" s="155">
        <f t="shared" si="1"/>
        <v>0</v>
      </c>
      <c r="J3" s="4">
        <f t="shared" si="2"/>
        <v>3</v>
      </c>
      <c r="K3" s="155">
        <f t="shared" si="3"/>
        <v>2</v>
      </c>
      <c r="L3" s="155" t="str">
        <f t="array" ref="L3">INDEX($B$2:$B$5, MATCH(2, $K$2:$K$5, 0))</f>
        <v>Ghana</v>
      </c>
    </row>
    <row r="4">
      <c r="A4" s="4">
        <v>3.0</v>
      </c>
      <c r="B4" s="4" t="s">
        <v>49</v>
      </c>
      <c r="C4" s="4">
        <v>2.0</v>
      </c>
      <c r="D4" s="4">
        <v>0.0</v>
      </c>
      <c r="E4" s="4">
        <v>1.0</v>
      </c>
      <c r="F4" s="4">
        <v>1.0</v>
      </c>
      <c r="G4" s="4">
        <v>0.0</v>
      </c>
      <c r="H4" s="4">
        <v>2.0</v>
      </c>
      <c r="I4" s="155">
        <f t="shared" si="1"/>
        <v>-2</v>
      </c>
      <c r="J4" s="4">
        <f t="shared" si="2"/>
        <v>1</v>
      </c>
      <c r="K4" s="155">
        <f t="shared" si="3"/>
        <v>4</v>
      </c>
      <c r="L4" s="155" t="str">
        <f t="array" ref="L4">INDEX($B$2:$B$5, MATCH(3, $K$2:$K$5, 0))</f>
        <v>Korea Republic</v>
      </c>
    </row>
    <row r="5">
      <c r="A5" s="4">
        <v>4.0</v>
      </c>
      <c r="B5" s="4" t="s">
        <v>143</v>
      </c>
      <c r="C5" s="4">
        <v>2.0</v>
      </c>
      <c r="D5" s="4">
        <v>0.0</v>
      </c>
      <c r="E5" s="4">
        <v>1.0</v>
      </c>
      <c r="F5" s="4">
        <v>1.0</v>
      </c>
      <c r="G5" s="4">
        <v>2.0</v>
      </c>
      <c r="H5" s="4">
        <v>3.0</v>
      </c>
      <c r="I5" s="155">
        <f t="shared" si="1"/>
        <v>-1</v>
      </c>
      <c r="J5" s="4">
        <f t="shared" si="2"/>
        <v>1</v>
      </c>
      <c r="K5" s="155">
        <f t="shared" si="3"/>
        <v>3</v>
      </c>
      <c r="L5" s="155" t="str">
        <f t="array" ref="L5">INDEX($B$2:$B$5, MATCH(4, $K$2:$K$5, 0))</f>
        <v>Uruguay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76</v>
      </c>
    </row>
    <row r="2">
      <c r="A2" s="4" t="s">
        <v>133</v>
      </c>
    </row>
    <row r="3">
      <c r="A3" s="4" t="s">
        <v>138</v>
      </c>
    </row>
    <row r="4">
      <c r="A4" s="4" t="s">
        <v>35</v>
      </c>
    </row>
    <row r="5">
      <c r="A5" s="4" t="s">
        <v>142</v>
      </c>
    </row>
    <row r="6">
      <c r="A6" s="4" t="s">
        <v>139</v>
      </c>
    </row>
    <row r="7">
      <c r="A7" s="4" t="s">
        <v>137</v>
      </c>
    </row>
    <row r="8">
      <c r="A8" s="4" t="s">
        <v>136</v>
      </c>
    </row>
    <row r="9">
      <c r="A9" s="4" t="s">
        <v>57</v>
      </c>
    </row>
    <row r="10">
      <c r="A10" s="4" t="s">
        <v>123</v>
      </c>
    </row>
    <row r="11">
      <c r="A11" s="4" t="s">
        <v>61</v>
      </c>
    </row>
    <row r="12">
      <c r="A12" s="4" t="s">
        <v>36</v>
      </c>
    </row>
    <row r="13">
      <c r="A13" s="4" t="s">
        <v>37</v>
      </c>
    </row>
    <row r="14">
      <c r="A14" s="4" t="s">
        <v>48</v>
      </c>
    </row>
    <row r="15">
      <c r="A15" s="4" t="s">
        <v>163</v>
      </c>
    </row>
    <row r="16">
      <c r="A16" s="4" t="s">
        <v>34</v>
      </c>
    </row>
    <row r="17">
      <c r="A17" s="4" t="s">
        <v>143</v>
      </c>
    </row>
    <row r="18">
      <c r="A18" s="4" t="s">
        <v>47</v>
      </c>
    </row>
    <row r="19">
      <c r="A19" s="4" t="s">
        <v>135</v>
      </c>
    </row>
    <row r="20">
      <c r="A20" s="4" t="s">
        <v>79</v>
      </c>
    </row>
    <row r="21">
      <c r="A21" s="4" t="s">
        <v>132</v>
      </c>
    </row>
    <row r="22">
      <c r="A22" s="4" t="s">
        <v>58</v>
      </c>
    </row>
    <row r="23">
      <c r="A23" s="4" t="s">
        <v>122</v>
      </c>
    </row>
    <row r="24">
      <c r="A24" s="4" t="s">
        <v>130</v>
      </c>
    </row>
    <row r="25">
      <c r="A25" s="4" t="s">
        <v>125</v>
      </c>
    </row>
    <row r="26">
      <c r="A26" s="4" t="s">
        <v>144</v>
      </c>
    </row>
    <row r="27">
      <c r="A27" s="4" t="s">
        <v>50</v>
      </c>
    </row>
    <row r="28">
      <c r="A28" s="4" t="s">
        <v>141</v>
      </c>
    </row>
    <row r="29">
      <c r="A29" s="4" t="s">
        <v>131</v>
      </c>
    </row>
    <row r="30">
      <c r="A30" s="4" t="s">
        <v>49</v>
      </c>
    </row>
    <row r="31">
      <c r="A31" s="4" t="s">
        <v>147</v>
      </c>
    </row>
    <row r="32">
      <c r="A32" s="4" t="s">
        <v>128</v>
      </c>
    </row>
  </sheetData>
  <drawing r:id="rId1"/>
</worksheet>
</file>